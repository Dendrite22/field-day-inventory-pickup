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'Data'!$A$5:$AG$5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Aptos Narrow"/>
      <family val="2"/>
      <color theme="1"/>
      <sz val="11"/>
      <scheme val="minor"/>
    </font>
    <font>
      <name val="Aptos Narrow"/>
      <sz val="11"/>
    </font>
    <font>
      <name val="Calibri"/>
      <b val="1"/>
      <color rgb="FF1F4E79"/>
      <sz val="11"/>
    </font>
    <font>
      <name val="Calibri"/>
      <i val="1"/>
      <color rgb="FF595959"/>
      <sz val="9"/>
    </font>
    <font>
      <name val="Calibri"/>
      <i val="1"/>
      <color rgb="FFFFFFFF"/>
      <sz val="9"/>
    </font>
    <font>
      <name val="Calibri"/>
      <b val="1"/>
      <color rgb="FFFFFFFF"/>
      <sz val="10"/>
    </font>
    <font>
      <name val="Calibri"/>
      <sz val="10"/>
    </font>
    <font/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FFFFFF"/>
      <sz val="9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2F7FC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2F7F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1"/>
  </cellStyleXfs>
  <cellXfs count="25">
    <xf numFmtId="0" fontId="0" fillId="0" borderId="0" pivotButton="0" quotePrefix="0" xfId="0"/>
    <xf numFmtId="0" fontId="1" fillId="0" borderId="1" pivotButton="0" quotePrefix="0" xfId="0"/>
    <xf numFmtId="0" fontId="4" fillId="2" borderId="2" applyAlignment="1" pivotButton="0" quotePrefix="0" xfId="0">
      <alignment vertical="top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/>
    </xf>
    <xf numFmtId="164" fontId="6" fillId="4" borderId="2" applyAlignment="1" pivotButton="0" quotePrefix="0" xfId="0">
      <alignment vertical="center"/>
    </xf>
    <xf numFmtId="9" fontId="6" fillId="4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vertical="center"/>
    </xf>
    <xf numFmtId="9" fontId="6" fillId="0" borderId="2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0" fillId="0" borderId="1" pivotButton="0" quotePrefix="0" xfId="0"/>
    <xf numFmtId="0" fontId="7" fillId="0" borderId="3" pivotButton="0" quotePrefix="0" xfId="0"/>
    <xf numFmtId="0" fontId="9" fillId="0" borderId="3" applyAlignment="1" pivotButton="0" quotePrefix="0" xfId="0">
      <alignment vertical="top" wrapText="1"/>
    </xf>
    <xf numFmtId="0" fontId="10" fillId="5" borderId="4" applyAlignment="1" pivotButton="0" quotePrefix="0" xfId="0">
      <alignment vertical="top" wrapText="1"/>
    </xf>
    <xf numFmtId="0" fontId="11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vertical="center"/>
    </xf>
    <xf numFmtId="164" fontId="6" fillId="7" borderId="4" applyAlignment="1" pivotButton="0" quotePrefix="0" xfId="0">
      <alignment vertical="center"/>
    </xf>
    <xf numFmtId="9" fontId="6" fillId="7" borderId="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9" fontId="6" fillId="0" borderId="4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"/>
  <sheetViews>
    <sheetView tabSelected="1" workbookViewId="0">
      <pane ySplit="5" topLeftCell="A6" activePane="bottomLeft" state="frozen"/>
      <selection pane="bottomLeft" activeCell="H4" sqref="H4"/>
    </sheetView>
  </sheetViews>
  <sheetFormatPr baseColWidth="8" defaultRowHeight="15"/>
  <cols>
    <col width="14" customWidth="1" style="11" min="1" max="1"/>
    <col width="16" bestFit="1" customWidth="1" style="11" min="2" max="2"/>
    <col width="18" bestFit="1" customWidth="1" style="11" min="3" max="3"/>
    <col width="22" bestFit="1" customWidth="1" style="11" min="4" max="4"/>
    <col width="16" bestFit="1" customWidth="1" style="11" min="5" max="5"/>
    <col width="22" customWidth="1" style="11" min="6" max="6"/>
    <col width="24" customWidth="1" style="11" min="7" max="7"/>
    <col width="24" bestFit="1" customWidth="1" style="11" min="8" max="9"/>
    <col width="24" customWidth="1" style="11" min="9" max="9"/>
    <col width="18" bestFit="1" customWidth="1" style="11" min="10" max="10"/>
    <col width="28" bestFit="1" customWidth="1" style="11" min="11" max="11"/>
    <col width="14" bestFit="1" customWidth="1" style="11" min="12" max="12"/>
    <col width="16" customWidth="1" style="11" min="13" max="13"/>
    <col width="20" customWidth="1" style="11" min="14" max="15"/>
    <col width="20" customWidth="1" style="11" min="15" max="15"/>
    <col width="10" bestFit="1" customWidth="1" style="11" min="16" max="16"/>
    <col width="14" bestFit="1" customWidth="1" style="11" min="17" max="17"/>
    <col width="12" customWidth="1" style="11" min="18" max="20"/>
    <col width="12" customWidth="1" style="11" min="19" max="19"/>
    <col width="12" customWidth="1" style="11" min="20" max="20"/>
    <col width="14" customWidth="1" style="11" min="21" max="21"/>
    <col width="18" customWidth="1" style="11" min="22" max="23"/>
    <col width="18" customWidth="1" style="11" min="23" max="23"/>
    <col width="20" customWidth="1" style="11" min="24" max="24"/>
    <col width="16" customWidth="1" style="11" min="25" max="25"/>
    <col width="18" customWidth="1" style="11" min="26" max="26"/>
    <col width="28" customWidth="1" style="11" min="27" max="27"/>
    <col width="18" customWidth="1" style="11" min="28" max="28"/>
    <col width="22" customWidth="1" style="11" min="29" max="29"/>
    <col width="18" customWidth="1" style="11" min="30" max="30"/>
    <col width="18" customWidth="1" style="11" min="31" max="32"/>
    <col width="24" customWidth="1" style="11" min="32" max="32"/>
    <col width="16" customWidth="1" style="11" min="33" max="33"/>
    <col width="16" customWidth="1" style="11" min="34" max="34"/>
  </cols>
  <sheetData>
    <row r="1" ht="60" customHeight="1" s="11">
      <c r="A1" s="13" t="inlineStr">
        <is>
          <t>FIELD DAY — INVENTORY PICKUP | Plant &amp; Equipment (Contents) Inspection Template. Select a building from the portfolio, then navigate the location hierarchy: Parent Asset → Address → Level → Sub Location → Asset Category (L1 to L4). Complete all fields in the item form before moving to the next entry. Autofill is active on all non-measurement, non-condition fields. Photos: Photo 1 (primary) and Photo 2 (secondary detail) are available per item. GPS coordinates and map view (Google hybrid) are captured at the Parent Asset (building) level only.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5" t="n"/>
    </row>
    <row r="2" ht="36" customHeight="1" s="11">
      <c r="A2" s="16" t="inlineStr">
        <is>
          <t>AUTOFILL RULE: All non-measurement and non-condition fields offer autofill suggestions drawn from existing entries within the same building. Valuation fields (Unit Rate, ERC, Indemnity Value, RUL) are system-generated or manually overridden on site.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5" t="n"/>
    </row>
    <row r="3" ht="6" customHeight="1" s="1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</row>
    <row r="4" ht="72" customHeight="1" s="11">
      <c r="A4" s="17" t="inlineStr">
        <is>
          <t>System generated. Auto-increments from 100001 across entire portfolio.</t>
        </is>
      </c>
      <c r="B4" s="17" t="inlineStr">
        <is>
          <t>Imported from client records or input on inspection.</t>
        </is>
      </c>
      <c r="C4" s="17" t="inlineStr">
        <is>
          <t>Building / facility name. Imported or input on inspection. Autofill enabled.</t>
        </is>
      </c>
      <c r="D4" s="17" t="inlineStr">
        <is>
          <t>Imported from client list. Autofill enabled.</t>
        </is>
      </c>
      <c r="E4" s="17" t="inlineStr">
        <is>
          <t>e.g. Ground Floor, Level 1, Basement, External. Autofill enabled.</t>
        </is>
      </c>
      <c r="F4" s="17" t="inlineStr">
        <is>
          <t>Room or area name, e.g. Board Room, Reception, Open Plan. Autofill enabled.</t>
        </is>
      </c>
      <c r="G4" s="17" t="inlineStr">
        <is>
          <t>Selection: Furniture / Information Technology / Audio Visual / Appliances &amp; White Goods / Office Equipment / Fitness &amp; Recreation / Medical &amp; First Aid / Vehicles &amp; Motorised Plant / Other</t>
        </is>
      </c>
      <c r="H4" s="17" t="inlineStr">
        <is>
          <t>Sub-category. Selection driven by L1 choice.</t>
        </is>
      </c>
      <c r="I4" s="17" t="inlineStr">
        <is>
          <t>Item type. Selection driven by L2 choice.</t>
        </is>
      </c>
      <c r="J4" s="17" t="inlineStr">
        <is>
          <t>Variant or specification. Selection or '--' if not applicable.</t>
        </is>
      </c>
      <c r="K4" s="17" t="inlineStr">
        <is>
          <t>Free-text description of the specific item.</t>
        </is>
      </c>
      <c r="L4" s="17" t="inlineStr">
        <is>
          <t>Selection only: 0=Not Present, 1=As New, 2=Good, 3=Fair, 4=Poor, 5=Very Poor. Blank not accepted.</t>
        </is>
      </c>
      <c r="M4" s="17" t="inlineStr">
        <is>
          <t>Auto-derived from Condition Rating value.</t>
        </is>
      </c>
      <c r="N4" s="17" t="inlineStr">
        <is>
          <t>Camera capture — primary item photo.</t>
        </is>
      </c>
      <c r="O4" s="17" t="inlineStr">
        <is>
          <t>Camera capture — secondary / detail photo.</t>
        </is>
      </c>
      <c r="P4" s="17" t="inlineStr">
        <is>
          <t>Count of identical items in this entry. Numerical only.</t>
        </is>
      </c>
      <c r="Q4" s="17" t="inlineStr">
        <is>
          <t>Selection: ea / set / pair / lot.</t>
        </is>
      </c>
      <c r="R4" s="17" t="inlineStr">
        <is>
          <t>External width in millimetres. Required for furniture.</t>
        </is>
      </c>
      <c r="S4" s="17" t="inlineStr">
        <is>
          <t>External depth in millimetres. Required for furniture.</t>
        </is>
      </c>
      <c r="T4" s="17" t="inlineStr">
        <is>
          <t>External height in millimetres.</t>
        </is>
      </c>
      <c r="U4" s="17" t="inlineStr">
        <is>
          <t>Diagonal screen size in inches. Applies to TVs, monitors, projectors.</t>
        </is>
      </c>
      <c r="V4" s="17" t="inlineStr">
        <is>
          <t>Manufacturer or brand name. Autofill enabled.</t>
        </is>
      </c>
      <c r="W4" s="17" t="inlineStr">
        <is>
          <t>Model name or number.</t>
        </is>
      </c>
      <c r="X4" s="17" t="inlineStr">
        <is>
          <t>Manufacturer serial number. Critical for insurance schedules.</t>
        </is>
      </c>
      <c r="Y4" s="17" t="inlineStr">
        <is>
          <t>Client's own asset tag or label number.</t>
        </is>
      </c>
      <c r="Z4" s="17" t="inlineStr">
        <is>
          <t>e.g. Black, White, Timber Veneer, Chrome, Grey Fabric. Autofill enabled.</t>
        </is>
      </c>
      <c r="AA4" s="17" t="inlineStr">
        <is>
          <t>Free-text observations or recommendations.</t>
        </is>
      </c>
      <c r="AB4" s="17" t="inlineStr">
        <is>
          <t>Replacement Cost New per unit. From cost library or manual override on site.</t>
        </is>
      </c>
      <c r="AC4" s="17" t="inlineStr">
        <is>
          <t>Formula: Unit Rate × Quantity.</t>
        </is>
      </c>
      <c r="AD4" s="17" t="inlineStr">
        <is>
          <t>Derived from Condition Rating: 1=100%, 2=75%, 3=50%, 4=25%, 5=0%, 0=N/A.</t>
        </is>
      </c>
      <c r="AE4" s="17" t="inlineStr">
        <is>
          <t>Formula: Estimated Replacement Cost × Remaining Useful Life. For financial reporting.</t>
        </is>
      </c>
      <c r="AF4" s="17" t="inlineStr">
        <is>
          <t>Selection: Contents / Plant &amp; Equipment / Motor Vehicle / Other.</t>
        </is>
      </c>
      <c r="AG4" s="17" t="inlineStr">
        <is>
          <t>Total expected useful life for the item type.</t>
        </is>
      </c>
      <c r="AH4" s="15" t="n"/>
    </row>
    <row r="5" ht="36" customHeight="1" s="11">
      <c r="A5" s="18" t="inlineStr">
        <is>
          <t>Unique ID</t>
        </is>
      </c>
      <c r="B5" s="18" t="inlineStr">
        <is>
          <t>Asset ID (Client)</t>
        </is>
      </c>
      <c r="C5" s="18" t="inlineStr">
        <is>
          <t>Parent Asset</t>
        </is>
      </c>
      <c r="D5" s="18" t="inlineStr">
        <is>
          <t>Address</t>
        </is>
      </c>
      <c r="E5" s="18" t="inlineStr">
        <is>
          <t>Level</t>
        </is>
      </c>
      <c r="F5" s="18" t="inlineStr">
        <is>
          <t>Sub Location</t>
        </is>
      </c>
      <c r="G5" s="18" t="inlineStr">
        <is>
          <t>Asset Category (L1)</t>
        </is>
      </c>
      <c r="H5" s="18" t="inlineStr">
        <is>
          <t>Asset Category (L2)</t>
        </is>
      </c>
      <c r="I5" s="18" t="inlineStr">
        <is>
          <t>Asset Category (L3)</t>
        </is>
      </c>
      <c r="J5" s="18" t="inlineStr">
        <is>
          <t>Asset Category (L4)</t>
        </is>
      </c>
      <c r="K5" s="18" t="inlineStr">
        <is>
          <t>Item Description</t>
        </is>
      </c>
      <c r="L5" s="18" t="inlineStr">
        <is>
          <t>Condition Rating (0-5)</t>
        </is>
      </c>
      <c r="M5" s="18" t="inlineStr">
        <is>
          <t>Condition Rating Label</t>
        </is>
      </c>
      <c r="N5" s="18" t="inlineStr">
        <is>
          <t>Photo 1</t>
        </is>
      </c>
      <c r="O5" s="18" t="inlineStr">
        <is>
          <t>Photo 2</t>
        </is>
      </c>
      <c r="P5" s="18" t="inlineStr">
        <is>
          <t>Quantity</t>
        </is>
      </c>
      <c r="Q5" s="18" t="inlineStr">
        <is>
          <t>Unit of Measurement</t>
        </is>
      </c>
      <c r="R5" s="18" t="inlineStr">
        <is>
          <t>Width (mm)</t>
        </is>
      </c>
      <c r="S5" s="18" t="inlineStr">
        <is>
          <t>Depth (mm)</t>
        </is>
      </c>
      <c r="T5" s="18" t="inlineStr">
        <is>
          <t>Height (mm)</t>
        </is>
      </c>
      <c r="U5" s="18" t="inlineStr">
        <is>
          <t>Screen Size (inches)</t>
        </is>
      </c>
      <c r="V5" s="18" t="inlineStr">
        <is>
          <t>Make / Brand</t>
        </is>
      </c>
      <c r="W5" s="18" t="inlineStr">
        <is>
          <t>Model</t>
        </is>
      </c>
      <c r="X5" s="18" t="inlineStr">
        <is>
          <t>Serial Number</t>
        </is>
      </c>
      <c r="Y5" s="18" t="inlineStr">
        <is>
          <t>Asset Tag / Label</t>
        </is>
      </c>
      <c r="Z5" s="18" t="inlineStr">
        <is>
          <t>Colour / Finish</t>
        </is>
      </c>
      <c r="AA5" s="18" t="inlineStr">
        <is>
          <t>Comments / Recommendations</t>
        </is>
      </c>
      <c r="AB5" s="18" t="inlineStr">
        <is>
          <t>Unit Rate - RCN ($)</t>
        </is>
      </c>
      <c r="AC5" s="18" t="inlineStr">
        <is>
          <t>Estimated Replacement Cost ($)</t>
        </is>
      </c>
      <c r="AD5" s="18" t="inlineStr">
        <is>
          <t>Remaining Useful Life (%)</t>
        </is>
      </c>
      <c r="AE5" s="18" t="inlineStr">
        <is>
          <t>Indemnity Value ($)</t>
        </is>
      </c>
      <c r="AF5" s="18" t="inlineStr">
        <is>
          <t>Insurance Schedule Category</t>
        </is>
      </c>
      <c r="AG5" s="18" t="inlineStr">
        <is>
          <t>Effective Life (years)</t>
        </is>
      </c>
      <c r="AH5" s="15" t="n"/>
    </row>
    <row r="6" ht="18" customHeight="1" s="11">
      <c r="A6" s="19" t="n">
        <v>100001</v>
      </c>
      <c r="B6" s="19" t="inlineStr">
        <is>
          <t>BO214</t>
        </is>
      </c>
      <c r="C6" s="19" t="inlineStr">
        <is>
          <t>Clubrooms</t>
        </is>
      </c>
      <c r="D6" s="19" t="inlineStr">
        <is>
          <t>50 Shephard Street</t>
        </is>
      </c>
      <c r="E6" s="19" t="inlineStr">
        <is>
          <t>Ground Floor</t>
        </is>
      </c>
      <c r="F6" s="19" t="inlineStr">
        <is>
          <t>Reception</t>
        </is>
      </c>
      <c r="G6" s="19" t="inlineStr">
        <is>
          <t>Furniture</t>
        </is>
      </c>
      <c r="H6" s="19" t="inlineStr">
        <is>
          <t>Seating</t>
        </is>
      </c>
      <c r="I6" s="19" t="inlineStr">
        <is>
          <t>Visitor Chair</t>
        </is>
      </c>
      <c r="J6" s="19" t="inlineStr">
        <is>
          <t>--</t>
        </is>
      </c>
      <c r="K6" s="19" t="inlineStr">
        <is>
          <t>4-leg stackable visitor chair</t>
        </is>
      </c>
      <c r="L6" s="19" t="n">
        <v>2</v>
      </c>
      <c r="M6" s="19" t="inlineStr">
        <is>
          <t>Good</t>
        </is>
      </c>
      <c r="N6" s="19" t="n"/>
      <c r="O6" s="19" t="n"/>
      <c r="P6" s="19" t="n">
        <v>4</v>
      </c>
      <c r="Q6" s="19" t="inlineStr">
        <is>
          <t>ea</t>
        </is>
      </c>
      <c r="R6" s="19" t="n">
        <v>520</v>
      </c>
      <c r="S6" s="19" t="n">
        <v>560</v>
      </c>
      <c r="T6" s="19" t="n">
        <v>820</v>
      </c>
      <c r="U6" s="19" t="n"/>
      <c r="V6" s="19" t="inlineStr">
        <is>
          <t>Haworth</t>
        </is>
      </c>
      <c r="W6" s="19" t="n"/>
      <c r="X6" s="19" t="n"/>
      <c r="Y6" s="19" t="n"/>
      <c r="Z6" s="19" t="inlineStr">
        <is>
          <t>Charcoal Fabric</t>
        </is>
      </c>
      <c r="AA6" s="19" t="n"/>
      <c r="AB6" s="20" t="n">
        <v>420</v>
      </c>
      <c r="AC6" s="20">
        <f>AB6*P6</f>
        <v/>
      </c>
      <c r="AD6" s="21" t="n">
        <v>0.75</v>
      </c>
      <c r="AE6" s="20">
        <f>AC6*AD6/100</f>
        <v/>
      </c>
      <c r="AF6" s="19" t="inlineStr">
        <is>
          <t>Contents</t>
        </is>
      </c>
      <c r="AG6" s="19" t="n">
        <v>12</v>
      </c>
      <c r="AH6" s="15" t="n"/>
    </row>
    <row r="7" ht="18" customHeight="1" s="11">
      <c r="A7" s="22" t="n">
        <v>100002</v>
      </c>
      <c r="B7" s="22" t="inlineStr">
        <is>
          <t>BO214</t>
        </is>
      </c>
      <c r="C7" s="22" t="inlineStr">
        <is>
          <t>Clubrooms</t>
        </is>
      </c>
      <c r="D7" s="22" t="inlineStr">
        <is>
          <t>50 Shephard Street</t>
        </is>
      </c>
      <c r="E7" s="22" t="inlineStr">
        <is>
          <t>Ground Floor</t>
        </is>
      </c>
      <c r="F7" s="22" t="inlineStr">
        <is>
          <t>Reception</t>
        </is>
      </c>
      <c r="G7" s="22" t="inlineStr">
        <is>
          <t>Furniture</t>
        </is>
      </c>
      <c r="H7" s="22" t="inlineStr">
        <is>
          <t>Desks &amp; Workstations</t>
        </is>
      </c>
      <c r="I7" s="22" t="inlineStr">
        <is>
          <t>Reception Desk / Counter</t>
        </is>
      </c>
      <c r="J7" s="22" t="inlineStr">
        <is>
          <t>--</t>
        </is>
      </c>
      <c r="K7" s="22" t="inlineStr">
        <is>
          <t>L-shape reception counter with modesty panel</t>
        </is>
      </c>
      <c r="L7" s="22" t="n">
        <v>2</v>
      </c>
      <c r="M7" s="22" t="inlineStr">
        <is>
          <t>Good</t>
        </is>
      </c>
      <c r="N7" s="22" t="n"/>
      <c r="O7" s="22" t="n"/>
      <c r="P7" s="22" t="n">
        <v>1</v>
      </c>
      <c r="Q7" s="22" t="inlineStr">
        <is>
          <t>ea</t>
        </is>
      </c>
      <c r="R7" s="22" t="n">
        <v>2400</v>
      </c>
      <c r="S7" s="22" t="n">
        <v>800</v>
      </c>
      <c r="T7" s="22" t="n">
        <v>1100</v>
      </c>
      <c r="U7" s="22" t="n"/>
      <c r="V7" s="22" t="inlineStr">
        <is>
          <t>Custom Joinery</t>
        </is>
      </c>
      <c r="W7" s="22" t="n"/>
      <c r="X7" s="22" t="n"/>
      <c r="Y7" s="22" t="n"/>
      <c r="Z7" s="22" t="inlineStr">
        <is>
          <t>White Laminate</t>
        </is>
      </c>
      <c r="AA7" s="22" t="n"/>
      <c r="AB7" s="23" t="n">
        <v>5500</v>
      </c>
      <c r="AC7" s="23">
        <f>AB7*P7</f>
        <v/>
      </c>
      <c r="AD7" s="24" t="n">
        <v>0.75</v>
      </c>
      <c r="AE7" s="23">
        <f>AC7*AD7/100</f>
        <v/>
      </c>
      <c r="AF7" s="22" t="inlineStr">
        <is>
          <t>Contents</t>
        </is>
      </c>
      <c r="AG7" s="22" t="n">
        <v>15</v>
      </c>
      <c r="AH7" s="15" t="n"/>
    </row>
    <row r="8" ht="18" customHeight="1" s="11">
      <c r="A8" s="19" t="n">
        <v>100003</v>
      </c>
      <c r="B8" s="19" t="inlineStr">
        <is>
          <t>BO214</t>
        </is>
      </c>
      <c r="C8" s="19" t="inlineStr">
        <is>
          <t>Clubrooms</t>
        </is>
      </c>
      <c r="D8" s="19" t="inlineStr">
        <is>
          <t>50 Shephard Street</t>
        </is>
      </c>
      <c r="E8" s="19" t="inlineStr">
        <is>
          <t>Ground Floor</t>
        </is>
      </c>
      <c r="F8" s="19" t="inlineStr">
        <is>
          <t>Reception</t>
        </is>
      </c>
      <c r="G8" s="19" t="inlineStr">
        <is>
          <t>Audio Visual</t>
        </is>
      </c>
      <c r="H8" s="19" t="inlineStr">
        <is>
          <t>Display Systems</t>
        </is>
      </c>
      <c r="I8" s="19" t="inlineStr">
        <is>
          <t>Flat Screen TV</t>
        </is>
      </c>
      <c r="J8" s="19" t="inlineStr">
        <is>
          <t>--</t>
        </is>
      </c>
      <c r="K8" s="19" t="inlineStr">
        <is>
          <t>Wall-mounted flat screen TV</t>
        </is>
      </c>
      <c r="L8" s="19" t="n">
        <v>2</v>
      </c>
      <c r="M8" s="19" t="inlineStr">
        <is>
          <t>Good</t>
        </is>
      </c>
      <c r="N8" s="19" t="n"/>
      <c r="O8" s="19" t="n"/>
      <c r="P8" s="19" t="n">
        <v>1</v>
      </c>
      <c r="Q8" s="19" t="inlineStr">
        <is>
          <t>ea</t>
        </is>
      </c>
      <c r="R8" s="19" t="n"/>
      <c r="S8" s="19" t="n"/>
      <c r="T8" s="19" t="n"/>
      <c r="U8" s="19" t="n">
        <v>65</v>
      </c>
      <c r="V8" s="19" t="inlineStr">
        <is>
          <t>Samsung</t>
        </is>
      </c>
      <c r="W8" s="19" t="inlineStr">
        <is>
          <t>QN65Q80C</t>
        </is>
      </c>
      <c r="X8" s="19" t="inlineStr">
        <is>
          <t>SN-SAM-01</t>
        </is>
      </c>
      <c r="Y8" s="19" t="n"/>
      <c r="Z8" s="19" t="inlineStr">
        <is>
          <t>Black</t>
        </is>
      </c>
      <c r="AA8" s="19" t="n"/>
      <c r="AB8" s="20" t="n">
        <v>2400</v>
      </c>
      <c r="AC8" s="20">
        <f>AB8*P8</f>
        <v/>
      </c>
      <c r="AD8" s="21" t="n">
        <v>0.75</v>
      </c>
      <c r="AE8" s="20">
        <f>AC8*AD8/100</f>
        <v/>
      </c>
      <c r="AF8" s="19" t="inlineStr">
        <is>
          <t>Plant &amp; Equipment</t>
        </is>
      </c>
      <c r="AG8" s="19" t="n">
        <v>8</v>
      </c>
      <c r="AH8" s="15" t="n"/>
    </row>
    <row r="9" ht="18" customHeight="1" s="11">
      <c r="A9" s="22" t="n">
        <v>100004</v>
      </c>
      <c r="B9" s="22" t="inlineStr">
        <is>
          <t>BO214</t>
        </is>
      </c>
      <c r="C9" s="22" t="inlineStr">
        <is>
          <t>Clubrooms</t>
        </is>
      </c>
      <c r="D9" s="22" t="inlineStr">
        <is>
          <t>50 Shephard Street</t>
        </is>
      </c>
      <c r="E9" s="22" t="inlineStr">
        <is>
          <t>Ground Floor</t>
        </is>
      </c>
      <c r="F9" s="22" t="inlineStr">
        <is>
          <t>Reception</t>
        </is>
      </c>
      <c r="G9" s="22" t="inlineStr">
        <is>
          <t>Furniture</t>
        </is>
      </c>
      <c r="H9" s="22" t="inlineStr">
        <is>
          <t>Seating</t>
        </is>
      </c>
      <c r="I9" s="22" t="inlineStr">
        <is>
          <t>Lounge Chair / Sofa</t>
        </is>
      </c>
      <c r="J9" s="22" t="inlineStr">
        <is>
          <t>3-Seater</t>
        </is>
      </c>
      <c r="K9" s="22" t="inlineStr">
        <is>
          <t>3-seater lounge sofa</t>
        </is>
      </c>
      <c r="L9" s="22" t="n">
        <v>3</v>
      </c>
      <c r="M9" s="22" t="inlineStr">
        <is>
          <t>Fair</t>
        </is>
      </c>
      <c r="N9" s="22" t="n"/>
      <c r="O9" s="22" t="n"/>
      <c r="P9" s="22" t="n">
        <v>1</v>
      </c>
      <c r="Q9" s="22" t="inlineStr">
        <is>
          <t>ea</t>
        </is>
      </c>
      <c r="R9" s="22" t="n">
        <v>2100</v>
      </c>
      <c r="S9" s="22" t="n">
        <v>900</v>
      </c>
      <c r="T9" s="22" t="n">
        <v>800</v>
      </c>
      <c r="U9" s="22" t="n"/>
      <c r="V9" s="22" t="n"/>
      <c r="W9" s="22" t="n"/>
      <c r="X9" s="22" t="n"/>
      <c r="Y9" s="22" t="n"/>
      <c r="Z9" s="22" t="inlineStr">
        <is>
          <t>Grey Fabric</t>
        </is>
      </c>
      <c r="AA9" s="22" t="n"/>
      <c r="AB9" s="23" t="n">
        <v>2400</v>
      </c>
      <c r="AC9" s="23">
        <f>AB9*P9</f>
        <v/>
      </c>
      <c r="AD9" s="24" t="n">
        <v>0.5</v>
      </c>
      <c r="AE9" s="23">
        <f>AC9*AD9/100</f>
        <v/>
      </c>
      <c r="AF9" s="22" t="inlineStr">
        <is>
          <t>Contents</t>
        </is>
      </c>
      <c r="AG9" s="22" t="n">
        <v>12</v>
      </c>
      <c r="AH9" s="15" t="n"/>
    </row>
    <row r="10" ht="18" customHeight="1" s="11">
      <c r="A10" s="19" t="n">
        <v>100005</v>
      </c>
      <c r="B10" s="19" t="inlineStr">
        <is>
          <t>BO214</t>
        </is>
      </c>
      <c r="C10" s="19" t="inlineStr">
        <is>
          <t>Clubrooms</t>
        </is>
      </c>
      <c r="D10" s="19" t="inlineStr">
        <is>
          <t>50 Shephard Street</t>
        </is>
      </c>
      <c r="E10" s="19" t="inlineStr">
        <is>
          <t>Ground Floor</t>
        </is>
      </c>
      <c r="F10" s="19" t="inlineStr">
        <is>
          <t>Reception</t>
        </is>
      </c>
      <c r="G10" s="19" t="inlineStr">
        <is>
          <t>Furniture</t>
        </is>
      </c>
      <c r="H10" s="19" t="inlineStr">
        <is>
          <t>Storage &amp; Filing</t>
        </is>
      </c>
      <c r="I10" s="19" t="inlineStr">
        <is>
          <t>Storage Cabinet</t>
        </is>
      </c>
      <c r="J10" s="19" t="inlineStr">
        <is>
          <t>--</t>
        </is>
      </c>
      <c r="K10" s="19" t="inlineStr">
        <is>
          <t>2-door storage cabinet with adjustable shelves</t>
        </is>
      </c>
      <c r="L10" s="19" t="n">
        <v>2</v>
      </c>
      <c r="M10" s="19" t="inlineStr">
        <is>
          <t>Good</t>
        </is>
      </c>
      <c r="N10" s="19" t="n"/>
      <c r="O10" s="19" t="n"/>
      <c r="P10" s="19" t="n">
        <v>1</v>
      </c>
      <c r="Q10" s="19" t="inlineStr">
        <is>
          <t>ea</t>
        </is>
      </c>
      <c r="R10" s="19" t="n">
        <v>900</v>
      </c>
      <c r="S10" s="19" t="n">
        <v>450</v>
      </c>
      <c r="T10" s="19" t="n">
        <v>1800</v>
      </c>
      <c r="U10" s="19" t="n"/>
      <c r="V10" s="19" t="n"/>
      <c r="W10" s="19" t="n"/>
      <c r="X10" s="19" t="n"/>
      <c r="Y10" s="19" t="n"/>
      <c r="Z10" s="19" t="inlineStr">
        <is>
          <t>White</t>
        </is>
      </c>
      <c r="AA10" s="19" t="inlineStr">
        <is>
          <t>Reception stationery storage</t>
        </is>
      </c>
      <c r="AB10" s="20" t="n">
        <v>720</v>
      </c>
      <c r="AC10" s="20">
        <f>AB10*P10</f>
        <v/>
      </c>
      <c r="AD10" s="21" t="n">
        <v>0.75</v>
      </c>
      <c r="AE10" s="20">
        <f>AC10*AD10/100</f>
        <v/>
      </c>
      <c r="AF10" s="19" t="inlineStr">
        <is>
          <t>Contents</t>
        </is>
      </c>
      <c r="AG10" s="19" t="n">
        <v>20</v>
      </c>
      <c r="AH10" s="15" t="n"/>
    </row>
    <row r="11" ht="18" customHeight="1" s="11">
      <c r="A11" s="22" t="n">
        <v>100006</v>
      </c>
      <c r="B11" s="22" t="inlineStr">
        <is>
          <t>BO214</t>
        </is>
      </c>
      <c r="C11" s="22" t="inlineStr">
        <is>
          <t>Clubrooms</t>
        </is>
      </c>
      <c r="D11" s="22" t="inlineStr">
        <is>
          <t>50 Shephard Street</t>
        </is>
      </c>
      <c r="E11" s="22" t="inlineStr">
        <is>
          <t>Ground Floor</t>
        </is>
      </c>
      <c r="F11" s="22" t="inlineStr">
        <is>
          <t>Main Administration Office</t>
        </is>
      </c>
      <c r="G11" s="22" t="inlineStr">
        <is>
          <t>Furniture</t>
        </is>
      </c>
      <c r="H11" s="22" t="inlineStr">
        <is>
          <t>Desks &amp; Workstations</t>
        </is>
      </c>
      <c r="I11" s="22" t="inlineStr">
        <is>
          <t>Straight Desk</t>
        </is>
      </c>
      <c r="J11" s="22" t="inlineStr">
        <is>
          <t>--</t>
        </is>
      </c>
      <c r="K11" s="22" t="inlineStr">
        <is>
          <t>Straight office desk with cable management</t>
        </is>
      </c>
      <c r="L11" s="22" t="n">
        <v>2</v>
      </c>
      <c r="M11" s="22" t="inlineStr">
        <is>
          <t>Good</t>
        </is>
      </c>
      <c r="N11" s="22" t="n"/>
      <c r="O11" s="22" t="n"/>
      <c r="P11" s="22" t="n">
        <v>3</v>
      </c>
      <c r="Q11" s="22" t="inlineStr">
        <is>
          <t>ea</t>
        </is>
      </c>
      <c r="R11" s="22" t="n">
        <v>1800</v>
      </c>
      <c r="S11" s="22" t="n">
        <v>750</v>
      </c>
      <c r="T11" s="22" t="n">
        <v>720</v>
      </c>
      <c r="U11" s="22" t="n"/>
      <c r="V11" s="22" t="n"/>
      <c r="W11" s="22" t="n"/>
      <c r="X11" s="22" t="n"/>
      <c r="Y11" s="22" t="n"/>
      <c r="Z11" s="22" t="inlineStr">
        <is>
          <t>Timber Veneer</t>
        </is>
      </c>
      <c r="AA11" s="22" t="n"/>
      <c r="AB11" s="23" t="n">
        <v>1050</v>
      </c>
      <c r="AC11" s="23">
        <f>AB11*P11</f>
        <v/>
      </c>
      <c r="AD11" s="24" t="n">
        <v>0.75</v>
      </c>
      <c r="AE11" s="23">
        <f>AC11*AD11/100</f>
        <v/>
      </c>
      <c r="AF11" s="22" t="inlineStr">
        <is>
          <t>Contents</t>
        </is>
      </c>
      <c r="AG11" s="22" t="n">
        <v>15</v>
      </c>
      <c r="AH11" s="15" t="n"/>
    </row>
    <row r="12" ht="18" customHeight="1" s="11">
      <c r="A12" s="19" t="n">
        <v>100007</v>
      </c>
      <c r="B12" s="19" t="inlineStr">
        <is>
          <t>BO214</t>
        </is>
      </c>
      <c r="C12" s="19" t="inlineStr">
        <is>
          <t>Clubrooms</t>
        </is>
      </c>
      <c r="D12" s="19" t="inlineStr">
        <is>
          <t>50 Shephard Street</t>
        </is>
      </c>
      <c r="E12" s="19" t="inlineStr">
        <is>
          <t>Ground Floor</t>
        </is>
      </c>
      <c r="F12" s="19" t="inlineStr">
        <is>
          <t>Main Administration Office</t>
        </is>
      </c>
      <c r="G12" s="19" t="inlineStr">
        <is>
          <t>Furniture</t>
        </is>
      </c>
      <c r="H12" s="19" t="inlineStr">
        <is>
          <t>Seating</t>
        </is>
      </c>
      <c r="I12" s="19" t="inlineStr">
        <is>
          <t>Task Chair</t>
        </is>
      </c>
      <c r="J12" s="19" t="inlineStr">
        <is>
          <t>--</t>
        </is>
      </c>
      <c r="K12" s="19" t="inlineStr">
        <is>
          <t>Ergonomic task chair with lumbar support and adjustable arms</t>
        </is>
      </c>
      <c r="L12" s="19" t="n">
        <v>2</v>
      </c>
      <c r="M12" s="19" t="inlineStr">
        <is>
          <t>Good</t>
        </is>
      </c>
      <c r="N12" s="19" t="n"/>
      <c r="O12" s="19" t="n"/>
      <c r="P12" s="19" t="n">
        <v>3</v>
      </c>
      <c r="Q12" s="19" t="inlineStr">
        <is>
          <t>ea</t>
        </is>
      </c>
      <c r="R12" s="19" t="n">
        <v>670</v>
      </c>
      <c r="S12" s="19" t="n">
        <v>640</v>
      </c>
      <c r="T12" s="19" t="n">
        <v>920</v>
      </c>
      <c r="U12" s="19" t="n"/>
      <c r="V12" s="19" t="inlineStr">
        <is>
          <t>Buro</t>
        </is>
      </c>
      <c r="W12" s="19" t="inlineStr">
        <is>
          <t>Metro II</t>
        </is>
      </c>
      <c r="X12" s="19" t="n"/>
      <c r="Y12" s="19" t="n"/>
      <c r="Z12" s="19" t="inlineStr">
        <is>
          <t>Black Mesh</t>
        </is>
      </c>
      <c r="AA12" s="19" t="n"/>
      <c r="AB12" s="20" t="n">
        <v>850</v>
      </c>
      <c r="AC12" s="20">
        <f>AB12*P12</f>
        <v/>
      </c>
      <c r="AD12" s="21" t="n">
        <v>0.75</v>
      </c>
      <c r="AE12" s="20">
        <f>AC12*AD12/100</f>
        <v/>
      </c>
      <c r="AF12" s="19" t="inlineStr">
        <is>
          <t>Contents</t>
        </is>
      </c>
      <c r="AG12" s="19" t="n">
        <v>12</v>
      </c>
      <c r="AH12" s="15" t="n"/>
    </row>
    <row r="13" ht="18" customHeight="1" s="11">
      <c r="A13" s="22" t="n">
        <v>100008</v>
      </c>
      <c r="B13" s="22" t="inlineStr">
        <is>
          <t>BO214</t>
        </is>
      </c>
      <c r="C13" s="22" t="inlineStr">
        <is>
          <t>Clubrooms</t>
        </is>
      </c>
      <c r="D13" s="22" t="inlineStr">
        <is>
          <t>50 Shephard Street</t>
        </is>
      </c>
      <c r="E13" s="22" t="inlineStr">
        <is>
          <t>Ground Floor</t>
        </is>
      </c>
      <c r="F13" s="22" t="inlineStr">
        <is>
          <t>Main Administration Office</t>
        </is>
      </c>
      <c r="G13" s="22" t="inlineStr">
        <is>
          <t>Furniture</t>
        </is>
      </c>
      <c r="H13" s="22" t="inlineStr">
        <is>
          <t>Storage &amp; Filing</t>
        </is>
      </c>
      <c r="I13" s="22" t="inlineStr">
        <is>
          <t>Filing Cabinet (Lateral)</t>
        </is>
      </c>
      <c r="J13" s="22" t="inlineStr">
        <is>
          <t>4-Drawer</t>
        </is>
      </c>
      <c r="K13" s="22" t="inlineStr">
        <is>
          <t>4-drawer lateral filing cabinet with lock</t>
        </is>
      </c>
      <c r="L13" s="22" t="n">
        <v>3</v>
      </c>
      <c r="M13" s="22" t="inlineStr">
        <is>
          <t>Fair</t>
        </is>
      </c>
      <c r="N13" s="22" t="n"/>
      <c r="O13" s="22" t="n"/>
      <c r="P13" s="22" t="n">
        <v>2</v>
      </c>
      <c r="Q13" s="22" t="inlineStr">
        <is>
          <t>ea</t>
        </is>
      </c>
      <c r="R13" s="22" t="n">
        <v>900</v>
      </c>
      <c r="S13" s="22" t="n">
        <v>580</v>
      </c>
      <c r="T13" s="22" t="n">
        <v>1330</v>
      </c>
      <c r="U13" s="22" t="n"/>
      <c r="V13" s="22" t="inlineStr">
        <is>
          <t>Brownbuilt</t>
        </is>
      </c>
      <c r="W13" s="22" t="n"/>
      <c r="X13" s="22" t="n"/>
      <c r="Y13" s="22" t="n"/>
      <c r="Z13" s="22" t="inlineStr">
        <is>
          <t>Beige</t>
        </is>
      </c>
      <c r="AA13" s="22" t="n"/>
      <c r="AB13" s="23" t="n">
        <v>950</v>
      </c>
      <c r="AC13" s="23">
        <f>AB13*P13</f>
        <v/>
      </c>
      <c r="AD13" s="24" t="n">
        <v>0.5</v>
      </c>
      <c r="AE13" s="23">
        <f>AC13*AD13/100</f>
        <v/>
      </c>
      <c r="AF13" s="22" t="inlineStr">
        <is>
          <t>Contents</t>
        </is>
      </c>
      <c r="AG13" s="22" t="n">
        <v>20</v>
      </c>
      <c r="AH13" s="15" t="n"/>
    </row>
    <row r="14" ht="18" customHeight="1" s="11">
      <c r="A14" s="19" t="n">
        <v>100009</v>
      </c>
      <c r="B14" s="19" t="inlineStr">
        <is>
          <t>BO214</t>
        </is>
      </c>
      <c r="C14" s="19" t="inlineStr">
        <is>
          <t>Clubrooms</t>
        </is>
      </c>
      <c r="D14" s="19" t="inlineStr">
        <is>
          <t>50 Shephard Street</t>
        </is>
      </c>
      <c r="E14" s="19" t="inlineStr">
        <is>
          <t>Ground Floor</t>
        </is>
      </c>
      <c r="F14" s="19" t="inlineStr">
        <is>
          <t>Main Administration Office</t>
        </is>
      </c>
      <c r="G14" s="19" t="inlineStr">
        <is>
          <t>Furniture</t>
        </is>
      </c>
      <c r="H14" s="19" t="inlineStr">
        <is>
          <t>Storage &amp; Filing</t>
        </is>
      </c>
      <c r="I14" s="19" t="inlineStr">
        <is>
          <t>Filing Cabinet (Pedestal)</t>
        </is>
      </c>
      <c r="J14" s="19" t="inlineStr">
        <is>
          <t>3-Drawer</t>
        </is>
      </c>
      <c r="K14" s="19" t="inlineStr">
        <is>
          <t>Mobile 3-drawer pedestal with castors and lock</t>
        </is>
      </c>
      <c r="L14" s="19" t="n">
        <v>2</v>
      </c>
      <c r="M14" s="19" t="inlineStr">
        <is>
          <t>Good</t>
        </is>
      </c>
      <c r="N14" s="19" t="n"/>
      <c r="O14" s="19" t="n"/>
      <c r="P14" s="19" t="n">
        <v>3</v>
      </c>
      <c r="Q14" s="19" t="inlineStr">
        <is>
          <t>ea</t>
        </is>
      </c>
      <c r="R14" s="19" t="n">
        <v>460</v>
      </c>
      <c r="S14" s="19" t="n">
        <v>570</v>
      </c>
      <c r="T14" s="19" t="n">
        <v>690</v>
      </c>
      <c r="U14" s="19" t="n"/>
      <c r="V14" s="19" t="n"/>
      <c r="W14" s="19" t="n"/>
      <c r="X14" s="19" t="n"/>
      <c r="Y14" s="19" t="n"/>
      <c r="Z14" s="19" t="inlineStr">
        <is>
          <t>White</t>
        </is>
      </c>
      <c r="AA14" s="19" t="n"/>
      <c r="AB14" s="20" t="n">
        <v>520</v>
      </c>
      <c r="AC14" s="20">
        <f>AB14*P14</f>
        <v/>
      </c>
      <c r="AD14" s="21" t="n">
        <v>0.75</v>
      </c>
      <c r="AE14" s="20">
        <f>AC14*AD14/100</f>
        <v/>
      </c>
      <c r="AF14" s="19" t="inlineStr">
        <is>
          <t>Contents</t>
        </is>
      </c>
      <c r="AG14" s="19" t="n">
        <v>20</v>
      </c>
      <c r="AH14" s="15" t="n"/>
    </row>
    <row r="15" ht="18" customHeight="1" s="11">
      <c r="A15" s="22" t="n">
        <v>100010</v>
      </c>
      <c r="B15" s="22" t="inlineStr">
        <is>
          <t>BO214</t>
        </is>
      </c>
      <c r="C15" s="22" t="inlineStr">
        <is>
          <t>Clubrooms</t>
        </is>
      </c>
      <c r="D15" s="22" t="inlineStr">
        <is>
          <t>50 Shephard Street</t>
        </is>
      </c>
      <c r="E15" s="22" t="inlineStr">
        <is>
          <t>Ground Floor</t>
        </is>
      </c>
      <c r="F15" s="22" t="inlineStr">
        <is>
          <t>Main Administration Office</t>
        </is>
      </c>
      <c r="G15" s="22" t="inlineStr">
        <is>
          <t>Information Technology</t>
        </is>
      </c>
      <c r="H15" s="22" t="inlineStr">
        <is>
          <t>Computing</t>
        </is>
      </c>
      <c r="I15" s="22" t="inlineStr">
        <is>
          <t>Desktop Computer (Tower)</t>
        </is>
      </c>
      <c r="J15" s="22" t="inlineStr">
        <is>
          <t>--</t>
        </is>
      </c>
      <c r="K15" s="22" t="inlineStr">
        <is>
          <t>Desktop PC tower</t>
        </is>
      </c>
      <c r="L15" s="22" t="n">
        <v>2</v>
      </c>
      <c r="M15" s="22" t="inlineStr">
        <is>
          <t>Good</t>
        </is>
      </c>
      <c r="N15" s="22" t="n"/>
      <c r="O15" s="22" t="n"/>
      <c r="P15" s="22" t="n">
        <v>3</v>
      </c>
      <c r="Q15" s="22" t="inlineStr">
        <is>
          <t>ea</t>
        </is>
      </c>
      <c r="R15" s="22" t="n"/>
      <c r="S15" s="22" t="n"/>
      <c r="T15" s="22" t="n">
        <v>400</v>
      </c>
      <c r="U15" s="22" t="n"/>
      <c r="V15" s="22" t="inlineStr">
        <is>
          <t>Dell</t>
        </is>
      </c>
      <c r="W15" s="22" t="inlineStr">
        <is>
          <t>OptiPlex 7010</t>
        </is>
      </c>
      <c r="X15" s="22" t="n"/>
      <c r="Y15" s="22" t="n"/>
      <c r="Z15" s="22" t="inlineStr">
        <is>
          <t>Black</t>
        </is>
      </c>
      <c r="AA15" s="22" t="n"/>
      <c r="AB15" s="23" t="n">
        <v>1850</v>
      </c>
      <c r="AC15" s="23">
        <f>AB15*P15</f>
        <v/>
      </c>
      <c r="AD15" s="24" t="n">
        <v>0.75</v>
      </c>
      <c r="AE15" s="23">
        <f>AC15*AD15/100</f>
        <v/>
      </c>
      <c r="AF15" s="22" t="inlineStr">
        <is>
          <t>Plant &amp; Equipment</t>
        </is>
      </c>
      <c r="AG15" s="22" t="n">
        <v>5</v>
      </c>
      <c r="AH15" s="15" t="n"/>
    </row>
    <row r="16" ht="18" customHeight="1" s="11">
      <c r="A16" s="19" t="n">
        <v>100011</v>
      </c>
      <c r="B16" s="19" t="inlineStr">
        <is>
          <t>BO214</t>
        </is>
      </c>
      <c r="C16" s="19" t="inlineStr">
        <is>
          <t>Clubrooms</t>
        </is>
      </c>
      <c r="D16" s="19" t="inlineStr">
        <is>
          <t>50 Shephard Street</t>
        </is>
      </c>
      <c r="E16" s="19" t="inlineStr">
        <is>
          <t>Ground Floor</t>
        </is>
      </c>
      <c r="F16" s="19" t="inlineStr">
        <is>
          <t>Main Administration Office</t>
        </is>
      </c>
      <c r="G16" s="19" t="inlineStr">
        <is>
          <t>Information Technology</t>
        </is>
      </c>
      <c r="H16" s="19" t="inlineStr">
        <is>
          <t>Display &amp; Peripherals</t>
        </is>
      </c>
      <c r="I16" s="19" t="inlineStr">
        <is>
          <t>Monitor / Screen</t>
        </is>
      </c>
      <c r="J16" s="19" t="inlineStr">
        <is>
          <t>--</t>
        </is>
      </c>
      <c r="K16" s="19" t="inlineStr">
        <is>
          <t>27-inch IPS LED monitor</t>
        </is>
      </c>
      <c r="L16" s="19" t="n">
        <v>2</v>
      </c>
      <c r="M16" s="19" t="inlineStr">
        <is>
          <t>Good</t>
        </is>
      </c>
      <c r="N16" s="19" t="n"/>
      <c r="O16" s="19" t="n"/>
      <c r="P16" s="19" t="n">
        <v>3</v>
      </c>
      <c r="Q16" s="19" t="inlineStr">
        <is>
          <t>ea</t>
        </is>
      </c>
      <c r="R16" s="19" t="n"/>
      <c r="S16" s="19" t="n"/>
      <c r="T16" s="19" t="n"/>
      <c r="U16" s="19" t="n">
        <v>27</v>
      </c>
      <c r="V16" s="19" t="inlineStr">
        <is>
          <t>Dell</t>
        </is>
      </c>
      <c r="W16" s="19" t="inlineStr">
        <is>
          <t>P2722H</t>
        </is>
      </c>
      <c r="X16" s="19" t="n"/>
      <c r="Y16" s="19" t="n"/>
      <c r="Z16" s="19" t="inlineStr">
        <is>
          <t>Black</t>
        </is>
      </c>
      <c r="AA16" s="19" t="n"/>
      <c r="AB16" s="20" t="n">
        <v>580</v>
      </c>
      <c r="AC16" s="20">
        <f>AB16*P16</f>
        <v/>
      </c>
      <c r="AD16" s="21" t="n">
        <v>0.75</v>
      </c>
      <c r="AE16" s="20">
        <f>AC16*AD16/100</f>
        <v/>
      </c>
      <c r="AF16" s="19" t="inlineStr">
        <is>
          <t>Plant &amp; Equipment</t>
        </is>
      </c>
      <c r="AG16" s="19" t="n">
        <v>5</v>
      </c>
      <c r="AH16" s="15" t="n"/>
    </row>
    <row r="17" ht="18" customHeight="1" s="11">
      <c r="A17" s="22" t="n">
        <v>100012</v>
      </c>
      <c r="B17" s="22" t="inlineStr">
        <is>
          <t>BO214</t>
        </is>
      </c>
      <c r="C17" s="22" t="inlineStr">
        <is>
          <t>Clubrooms</t>
        </is>
      </c>
      <c r="D17" s="22" t="inlineStr">
        <is>
          <t>50 Shephard Street</t>
        </is>
      </c>
      <c r="E17" s="22" t="inlineStr">
        <is>
          <t>Ground Floor</t>
        </is>
      </c>
      <c r="F17" s="22" t="inlineStr">
        <is>
          <t>Main Administration Office</t>
        </is>
      </c>
      <c r="G17" s="22" t="inlineStr">
        <is>
          <t>Information Technology</t>
        </is>
      </c>
      <c r="H17" s="22" t="inlineStr">
        <is>
          <t>Display &amp; Peripherals</t>
        </is>
      </c>
      <c r="I17" s="22" t="inlineStr">
        <is>
          <t>Printer (Multifunction)</t>
        </is>
      </c>
      <c r="J17" s="22" t="inlineStr">
        <is>
          <t>--</t>
        </is>
      </c>
      <c r="K17" s="22" t="inlineStr">
        <is>
          <t>A3 colour multifunction printer/copier/scanner</t>
        </is>
      </c>
      <c r="L17" s="22" t="n">
        <v>3</v>
      </c>
      <c r="M17" s="22" t="inlineStr">
        <is>
          <t>Fair</t>
        </is>
      </c>
      <c r="N17" s="22" t="n"/>
      <c r="O17" s="22" t="n"/>
      <c r="P17" s="22" t="n">
        <v>1</v>
      </c>
      <c r="Q17" s="22" t="inlineStr">
        <is>
          <t>ea</t>
        </is>
      </c>
      <c r="R17" s="22" t="n">
        <v>580</v>
      </c>
      <c r="S17" s="22" t="n">
        <v>560</v>
      </c>
      <c r="T17" s="22" t="n">
        <v>680</v>
      </c>
      <c r="U17" s="22" t="n"/>
      <c r="V17" s="22" t="inlineStr">
        <is>
          <t>Canon</t>
        </is>
      </c>
      <c r="W17" s="22" t="inlineStr">
        <is>
          <t>iR-ADV C3530i</t>
        </is>
      </c>
      <c r="X17" s="22" t="inlineStr">
        <is>
          <t>SN-CAN-01</t>
        </is>
      </c>
      <c r="Y17" s="22" t="n"/>
      <c r="Z17" s="22" t="inlineStr">
        <is>
          <t>White/Grey</t>
        </is>
      </c>
      <c r="AA17" s="22" t="n"/>
      <c r="AB17" s="23" t="n">
        <v>1600</v>
      </c>
      <c r="AC17" s="23">
        <f>AB17*P17</f>
        <v/>
      </c>
      <c r="AD17" s="24" t="n">
        <v>0.5</v>
      </c>
      <c r="AE17" s="23">
        <f>AC17*AD17/100</f>
        <v/>
      </c>
      <c r="AF17" s="22" t="inlineStr">
        <is>
          <t>Plant &amp; Equipment</t>
        </is>
      </c>
      <c r="AG17" s="22" t="n">
        <v>8</v>
      </c>
      <c r="AH17" s="15" t="n"/>
    </row>
    <row r="18" ht="18" customHeight="1" s="11">
      <c r="A18" s="19" t="n">
        <v>100013</v>
      </c>
      <c r="B18" s="19" t="inlineStr">
        <is>
          <t>BO214</t>
        </is>
      </c>
      <c r="C18" s="19" t="inlineStr">
        <is>
          <t>Clubrooms</t>
        </is>
      </c>
      <c r="D18" s="19" t="inlineStr">
        <is>
          <t>50 Shephard Street</t>
        </is>
      </c>
      <c r="E18" s="19" t="inlineStr">
        <is>
          <t>Ground Floor</t>
        </is>
      </c>
      <c r="F18" s="19" t="inlineStr">
        <is>
          <t>Main Administration Office</t>
        </is>
      </c>
      <c r="G18" s="19" t="inlineStr">
        <is>
          <t>Furniture</t>
        </is>
      </c>
      <c r="H18" s="19" t="inlineStr">
        <is>
          <t>Seating</t>
        </is>
      </c>
      <c r="I18" s="19" t="inlineStr">
        <is>
          <t>Visitor Chair</t>
        </is>
      </c>
      <c r="J18" s="19" t="inlineStr">
        <is>
          <t>--</t>
        </is>
      </c>
      <c r="K18" s="19" t="inlineStr">
        <is>
          <t>Visitor chair with padded seat</t>
        </is>
      </c>
      <c r="L18" s="19" t="n">
        <v>2</v>
      </c>
      <c r="M18" s="19" t="inlineStr">
        <is>
          <t>Good</t>
        </is>
      </c>
      <c r="N18" s="19" t="n"/>
      <c r="O18" s="19" t="n"/>
      <c r="P18" s="19" t="n">
        <v>2</v>
      </c>
      <c r="Q18" s="19" t="inlineStr">
        <is>
          <t>ea</t>
        </is>
      </c>
      <c r="R18" s="19" t="n">
        <v>520</v>
      </c>
      <c r="S18" s="19" t="n">
        <v>560</v>
      </c>
      <c r="T18" s="19" t="n">
        <v>820</v>
      </c>
      <c r="U18" s="19" t="n"/>
      <c r="V18" s="19" t="n"/>
      <c r="W18" s="19" t="n"/>
      <c r="X18" s="19" t="n"/>
      <c r="Y18" s="19" t="n"/>
      <c r="Z18" s="19" t="inlineStr">
        <is>
          <t>Charcoal Fabric</t>
        </is>
      </c>
      <c r="AA18" s="19" t="n"/>
      <c r="AB18" s="20" t="n">
        <v>420</v>
      </c>
      <c r="AC18" s="20">
        <f>AB18*P18</f>
        <v/>
      </c>
      <c r="AD18" s="21" t="n">
        <v>0.75</v>
      </c>
      <c r="AE18" s="20">
        <f>AC18*AD18/100</f>
        <v/>
      </c>
      <c r="AF18" s="19" t="inlineStr">
        <is>
          <t>Contents</t>
        </is>
      </c>
      <c r="AG18" s="19" t="n">
        <v>12</v>
      </c>
      <c r="AH18" s="15" t="n"/>
    </row>
    <row r="19" ht="18" customHeight="1" s="11">
      <c r="A19" s="22" t="n">
        <v>100014</v>
      </c>
      <c r="B19" s="22" t="inlineStr">
        <is>
          <t>BO214</t>
        </is>
      </c>
      <c r="C19" s="22" t="inlineStr">
        <is>
          <t>Clubrooms</t>
        </is>
      </c>
      <c r="D19" s="22" t="inlineStr">
        <is>
          <t>50 Shephard Street</t>
        </is>
      </c>
      <c r="E19" s="22" t="inlineStr">
        <is>
          <t>Ground Floor</t>
        </is>
      </c>
      <c r="F19" s="22" t="inlineStr">
        <is>
          <t>Board Room</t>
        </is>
      </c>
      <c r="G19" s="22" t="inlineStr">
        <is>
          <t>Furniture</t>
        </is>
      </c>
      <c r="H19" s="22" t="inlineStr">
        <is>
          <t>Tables</t>
        </is>
      </c>
      <c r="I19" s="22" t="inlineStr">
        <is>
          <t>Boardroom Table</t>
        </is>
      </c>
      <c r="J19" s="22" t="inlineStr">
        <is>
          <t>--</t>
        </is>
      </c>
      <c r="K19" s="22" t="inlineStr">
        <is>
          <t>12-person boardroom table, boat-shaped</t>
        </is>
      </c>
      <c r="L19" s="22" t="n">
        <v>2</v>
      </c>
      <c r="M19" s="22" t="inlineStr">
        <is>
          <t>Good</t>
        </is>
      </c>
      <c r="N19" s="22" t="n"/>
      <c r="O19" s="22" t="n"/>
      <c r="P19" s="22" t="n">
        <v>1</v>
      </c>
      <c r="Q19" s="22" t="inlineStr">
        <is>
          <t>ea</t>
        </is>
      </c>
      <c r="R19" s="22" t="n">
        <v>3600</v>
      </c>
      <c r="S19" s="22" t="n">
        <v>1200</v>
      </c>
      <c r="T19" s="22" t="n">
        <v>750</v>
      </c>
      <c r="U19" s="22" t="n"/>
      <c r="V19" s="22" t="inlineStr">
        <is>
          <t>Custom Joinery</t>
        </is>
      </c>
      <c r="W19" s="22" t="n"/>
      <c r="X19" s="22" t="n"/>
      <c r="Y19" s="22" t="n"/>
      <c r="Z19" s="22" t="inlineStr">
        <is>
          <t>Dark Timber Veneer</t>
        </is>
      </c>
      <c r="AA19" s="22" t="n"/>
      <c r="AB19" s="23" t="n">
        <v>9500</v>
      </c>
      <c r="AC19" s="23">
        <f>AB19*P19</f>
        <v/>
      </c>
      <c r="AD19" s="24" t="n">
        <v>0.75</v>
      </c>
      <c r="AE19" s="23">
        <f>AC19*AD19/100</f>
        <v/>
      </c>
      <c r="AF19" s="22" t="inlineStr">
        <is>
          <t>Contents</t>
        </is>
      </c>
      <c r="AG19" s="22" t="n">
        <v>20</v>
      </c>
      <c r="AH19" s="15" t="n"/>
    </row>
    <row r="20" ht="18" customHeight="1" s="11">
      <c r="A20" s="19" t="n">
        <v>100015</v>
      </c>
      <c r="B20" s="19" t="inlineStr">
        <is>
          <t>BO214</t>
        </is>
      </c>
      <c r="C20" s="19" t="inlineStr">
        <is>
          <t>Clubrooms</t>
        </is>
      </c>
      <c r="D20" s="19" t="inlineStr">
        <is>
          <t>50 Shephard Street</t>
        </is>
      </c>
      <c r="E20" s="19" t="inlineStr">
        <is>
          <t>Ground Floor</t>
        </is>
      </c>
      <c r="F20" s="19" t="inlineStr">
        <is>
          <t>Board Room</t>
        </is>
      </c>
      <c r="G20" s="19" t="inlineStr">
        <is>
          <t>Furniture</t>
        </is>
      </c>
      <c r="H20" s="19" t="inlineStr">
        <is>
          <t>Seating</t>
        </is>
      </c>
      <c r="I20" s="19" t="inlineStr">
        <is>
          <t>Meeting Chair</t>
        </is>
      </c>
      <c r="J20" s="19" t="inlineStr">
        <is>
          <t>--</t>
        </is>
      </c>
      <c r="K20" s="19" t="inlineStr">
        <is>
          <t>High-back meeting chair with chrome base</t>
        </is>
      </c>
      <c r="L20" s="19" t="n">
        <v>2</v>
      </c>
      <c r="M20" s="19" t="inlineStr">
        <is>
          <t>Good</t>
        </is>
      </c>
      <c r="N20" s="19" t="n"/>
      <c r="O20" s="19" t="n"/>
      <c r="P20" s="19" t="n">
        <v>12</v>
      </c>
      <c r="Q20" s="19" t="inlineStr">
        <is>
          <t>ea</t>
        </is>
      </c>
      <c r="R20" s="19" t="n">
        <v>550</v>
      </c>
      <c r="S20" s="19" t="n">
        <v>590</v>
      </c>
      <c r="T20" s="19" t="n">
        <v>1150</v>
      </c>
      <c r="U20" s="19" t="n"/>
      <c r="V20" s="19" t="inlineStr">
        <is>
          <t>Haworth</t>
        </is>
      </c>
      <c r="W20" s="19" t="inlineStr">
        <is>
          <t>Fern</t>
        </is>
      </c>
      <c r="X20" s="19" t="n"/>
      <c r="Y20" s="19" t="n"/>
      <c r="Z20" s="19" t="inlineStr">
        <is>
          <t>Black Mesh</t>
        </is>
      </c>
      <c r="AA20" s="19" t="n"/>
      <c r="AB20" s="20" t="n">
        <v>520</v>
      </c>
      <c r="AC20" s="20">
        <f>AB20*P20</f>
        <v/>
      </c>
      <c r="AD20" s="21" t="n">
        <v>0.75</v>
      </c>
      <c r="AE20" s="20">
        <f>AC20*AD20/100</f>
        <v/>
      </c>
      <c r="AF20" s="19" t="inlineStr">
        <is>
          <t>Contents</t>
        </is>
      </c>
      <c r="AG20" s="19" t="n">
        <v>12</v>
      </c>
      <c r="AH20" s="15" t="n"/>
    </row>
    <row r="21" ht="18" customHeight="1" s="11">
      <c r="A21" s="22" t="n">
        <v>100016</v>
      </c>
      <c r="B21" s="22" t="inlineStr">
        <is>
          <t>BO214</t>
        </is>
      </c>
      <c r="C21" s="22" t="inlineStr">
        <is>
          <t>Clubrooms</t>
        </is>
      </c>
      <c r="D21" s="22" t="inlineStr">
        <is>
          <t>50 Shephard Street</t>
        </is>
      </c>
      <c r="E21" s="22" t="inlineStr">
        <is>
          <t>Ground Floor</t>
        </is>
      </c>
      <c r="F21" s="22" t="inlineStr">
        <is>
          <t>Board Room</t>
        </is>
      </c>
      <c r="G21" s="22" t="inlineStr">
        <is>
          <t>Audio Visual</t>
        </is>
      </c>
      <c r="H21" s="22" t="inlineStr">
        <is>
          <t>Display Systems</t>
        </is>
      </c>
      <c r="I21" s="22" t="inlineStr">
        <is>
          <t>Flat Screen TV</t>
        </is>
      </c>
      <c r="J21" s="22" t="inlineStr">
        <is>
          <t>--</t>
        </is>
      </c>
      <c r="K21" s="22" t="inlineStr">
        <is>
          <t>Wall-mounted 75-inch UHD display panel</t>
        </is>
      </c>
      <c r="L21" s="22" t="n">
        <v>2</v>
      </c>
      <c r="M21" s="22" t="inlineStr">
        <is>
          <t>Good</t>
        </is>
      </c>
      <c r="N21" s="22" t="n"/>
      <c r="O21" s="22" t="n"/>
      <c r="P21" s="22" t="n">
        <v>2</v>
      </c>
      <c r="Q21" s="22" t="inlineStr">
        <is>
          <t>ea</t>
        </is>
      </c>
      <c r="R21" s="22" t="n"/>
      <c r="S21" s="22" t="n"/>
      <c r="T21" s="22" t="n"/>
      <c r="U21" s="22" t="n">
        <v>75</v>
      </c>
      <c r="V21" s="22" t="inlineStr">
        <is>
          <t>LG</t>
        </is>
      </c>
      <c r="W21" s="22" t="inlineStr">
        <is>
          <t>75QNED90</t>
        </is>
      </c>
      <c r="X21" s="22" t="inlineStr">
        <is>
          <t>SN-LG-01</t>
        </is>
      </c>
      <c r="Y21" s="22" t="n"/>
      <c r="Z21" s="22" t="inlineStr">
        <is>
          <t>Black</t>
        </is>
      </c>
      <c r="AA21" s="22" t="n"/>
      <c r="AB21" s="23" t="n">
        <v>3400</v>
      </c>
      <c r="AC21" s="23">
        <f>AB21*P21</f>
        <v/>
      </c>
      <c r="AD21" s="24" t="n">
        <v>0.75</v>
      </c>
      <c r="AE21" s="23">
        <f>AC21*AD21/100</f>
        <v/>
      </c>
      <c r="AF21" s="22" t="inlineStr">
        <is>
          <t>Plant &amp; Equipment</t>
        </is>
      </c>
      <c r="AG21" s="22" t="n">
        <v>8</v>
      </c>
      <c r="AH21" s="15" t="n"/>
    </row>
    <row r="22" ht="18" customHeight="1" s="11">
      <c r="A22" s="19" t="n">
        <v>100017</v>
      </c>
      <c r="B22" s="19" t="inlineStr">
        <is>
          <t>BO214</t>
        </is>
      </c>
      <c r="C22" s="19" t="inlineStr">
        <is>
          <t>Clubrooms</t>
        </is>
      </c>
      <c r="D22" s="19" t="inlineStr">
        <is>
          <t>50 Shephard Street</t>
        </is>
      </c>
      <c r="E22" s="19" t="inlineStr">
        <is>
          <t>Ground Floor</t>
        </is>
      </c>
      <c r="F22" s="19" t="inlineStr">
        <is>
          <t>Board Room</t>
        </is>
      </c>
      <c r="G22" s="19" t="inlineStr">
        <is>
          <t>Audio Visual</t>
        </is>
      </c>
      <c r="H22" s="19" t="inlineStr">
        <is>
          <t>Video Conferencing</t>
        </is>
      </c>
      <c r="I22" s="19" t="inlineStr">
        <is>
          <t>Video Bar (All-in-One)</t>
        </is>
      </c>
      <c r="J22" s="19" t="inlineStr">
        <is>
          <t>--</t>
        </is>
      </c>
      <c r="K22" s="19" t="inlineStr">
        <is>
          <t>Integrated video conferencing bar with camera, mic and speaker</t>
        </is>
      </c>
      <c r="L22" s="19" t="n">
        <v>2</v>
      </c>
      <c r="M22" s="19" t="inlineStr">
        <is>
          <t>Good</t>
        </is>
      </c>
      <c r="N22" s="19" t="n"/>
      <c r="O22" s="19" t="n"/>
      <c r="P22" s="19" t="n">
        <v>1</v>
      </c>
      <c r="Q22" s="19" t="inlineStr">
        <is>
          <t>ea</t>
        </is>
      </c>
      <c r="R22" s="19" t="n">
        <v>700</v>
      </c>
      <c r="S22" s="19" t="n">
        <v>150</v>
      </c>
      <c r="T22" s="19" t="n">
        <v>100</v>
      </c>
      <c r="U22" s="19" t="n"/>
      <c r="V22" s="19" t="inlineStr">
        <is>
          <t>Poly</t>
        </is>
      </c>
      <c r="W22" s="19" t="inlineStr">
        <is>
          <t>Studio E70</t>
        </is>
      </c>
      <c r="X22" s="19" t="inlineStr">
        <is>
          <t>SN-POLY-01</t>
        </is>
      </c>
      <c r="Y22" s="19" t="n"/>
      <c r="Z22" s="19" t="inlineStr">
        <is>
          <t>Black</t>
        </is>
      </c>
      <c r="AA22" s="19" t="n"/>
      <c r="AB22" s="20" t="n">
        <v>9200</v>
      </c>
      <c r="AC22" s="20">
        <f>AB22*P22</f>
        <v/>
      </c>
      <c r="AD22" s="21" t="n">
        <v>0.75</v>
      </c>
      <c r="AE22" s="20">
        <f>AC22*AD22/100</f>
        <v/>
      </c>
      <c r="AF22" s="19" t="inlineStr">
        <is>
          <t>Plant &amp; Equipment</t>
        </is>
      </c>
      <c r="AG22" s="19" t="n">
        <v>8</v>
      </c>
      <c r="AH22" s="15" t="n"/>
    </row>
    <row r="23" ht="18" customHeight="1" s="11">
      <c r="A23" s="22" t="n">
        <v>100018</v>
      </c>
      <c r="B23" s="22" t="inlineStr">
        <is>
          <t>BO214</t>
        </is>
      </c>
      <c r="C23" s="22" t="inlineStr">
        <is>
          <t>Clubrooms</t>
        </is>
      </c>
      <c r="D23" s="22" t="inlineStr">
        <is>
          <t>50 Shephard Street</t>
        </is>
      </c>
      <c r="E23" s="22" t="inlineStr">
        <is>
          <t>Ground Floor</t>
        </is>
      </c>
      <c r="F23" s="22" t="inlineStr">
        <is>
          <t>Board Room</t>
        </is>
      </c>
      <c r="G23" s="22" t="inlineStr">
        <is>
          <t>Furniture</t>
        </is>
      </c>
      <c r="H23" s="22" t="inlineStr">
        <is>
          <t>Storage &amp; Filing</t>
        </is>
      </c>
      <c r="I23" s="22" t="inlineStr">
        <is>
          <t>Credenza / Buffet</t>
        </is>
      </c>
      <c r="J23" s="22" t="inlineStr">
        <is>
          <t>--</t>
        </is>
      </c>
      <c r="K23" s="22" t="inlineStr">
        <is>
          <t>2-door credenza with timber veneer finish</t>
        </is>
      </c>
      <c r="L23" s="22" t="n">
        <v>2</v>
      </c>
      <c r="M23" s="22" t="inlineStr">
        <is>
          <t>Good</t>
        </is>
      </c>
      <c r="N23" s="22" t="n"/>
      <c r="O23" s="22" t="n"/>
      <c r="P23" s="22" t="n">
        <v>2</v>
      </c>
      <c r="Q23" s="22" t="inlineStr">
        <is>
          <t>ea</t>
        </is>
      </c>
      <c r="R23" s="22" t="n">
        <v>1800</v>
      </c>
      <c r="S23" s="22" t="n">
        <v>450</v>
      </c>
      <c r="T23" s="22" t="n">
        <v>750</v>
      </c>
      <c r="U23" s="22" t="n"/>
      <c r="V23" s="22" t="n"/>
      <c r="W23" s="22" t="n"/>
      <c r="X23" s="22" t="n"/>
      <c r="Y23" s="22" t="n"/>
      <c r="Z23" s="22" t="inlineStr">
        <is>
          <t>Dark Timber Veneer</t>
        </is>
      </c>
      <c r="AA23" s="22" t="n"/>
      <c r="AB23" s="23" t="n">
        <v>1600</v>
      </c>
      <c r="AC23" s="23">
        <f>AB23*P23</f>
        <v/>
      </c>
      <c r="AD23" s="24" t="n">
        <v>0.75</v>
      </c>
      <c r="AE23" s="23">
        <f>AC23*AD23/100</f>
        <v/>
      </c>
      <c r="AF23" s="22" t="inlineStr">
        <is>
          <t>Contents</t>
        </is>
      </c>
      <c r="AG23" s="22" t="n">
        <v>20</v>
      </c>
      <c r="AH23" s="15" t="n"/>
    </row>
    <row r="24" ht="18" customHeight="1" s="11">
      <c r="A24" s="19" t="n">
        <v>100019</v>
      </c>
      <c r="B24" s="19" t="inlineStr">
        <is>
          <t>BO214</t>
        </is>
      </c>
      <c r="C24" s="19" t="inlineStr">
        <is>
          <t>Clubrooms</t>
        </is>
      </c>
      <c r="D24" s="19" t="inlineStr">
        <is>
          <t>50 Shephard Street</t>
        </is>
      </c>
      <c r="E24" s="19" t="inlineStr">
        <is>
          <t>Ground Floor</t>
        </is>
      </c>
      <c r="F24" s="19" t="inlineStr">
        <is>
          <t>Kitchen</t>
        </is>
      </c>
      <c r="G24" s="19" t="inlineStr">
        <is>
          <t>Appliances &amp; White Goods</t>
        </is>
      </c>
      <c r="H24" s="19" t="inlineStr">
        <is>
          <t>Kitchen Appliances</t>
        </is>
      </c>
      <c r="I24" s="19" t="inlineStr">
        <is>
          <t>Refrigerator / Fridge</t>
        </is>
      </c>
      <c r="J24" s="19" t="inlineStr">
        <is>
          <t>--</t>
        </is>
      </c>
      <c r="K24" s="19" t="inlineStr">
        <is>
          <t>French door refrigerator with water dispenser</t>
        </is>
      </c>
      <c r="L24" s="19" t="n">
        <v>2</v>
      </c>
      <c r="M24" s="19" t="inlineStr">
        <is>
          <t>Good</t>
        </is>
      </c>
      <c r="N24" s="19" t="n"/>
      <c r="O24" s="19" t="n"/>
      <c r="P24" s="19" t="n">
        <v>1</v>
      </c>
      <c r="Q24" s="19" t="inlineStr">
        <is>
          <t>ea</t>
        </is>
      </c>
      <c r="R24" s="19" t="n">
        <v>750</v>
      </c>
      <c r="S24" s="19" t="n">
        <v>680</v>
      </c>
      <c r="T24" s="19" t="n">
        <v>1780</v>
      </c>
      <c r="U24" s="19" t="n"/>
      <c r="V24" s="19" t="inlineStr">
        <is>
          <t>Fisher &amp; Paykel</t>
        </is>
      </c>
      <c r="W24" s="19" t="inlineStr">
        <is>
          <t>RF540ADUB5</t>
        </is>
      </c>
      <c r="X24" s="19" t="inlineStr">
        <is>
          <t>SN-FP-01</t>
        </is>
      </c>
      <c r="Y24" s="19" t="n"/>
      <c r="Z24" s="19" t="inlineStr">
        <is>
          <t>Stainless Steel</t>
        </is>
      </c>
      <c r="AA24" s="19" t="n"/>
      <c r="AB24" s="20" t="n">
        <v>1900</v>
      </c>
      <c r="AC24" s="20">
        <f>AB24*P24</f>
        <v/>
      </c>
      <c r="AD24" s="21" t="n">
        <v>0.75</v>
      </c>
      <c r="AE24" s="20">
        <f>AC24*AD24/100</f>
        <v/>
      </c>
      <c r="AF24" s="19" t="inlineStr">
        <is>
          <t>Plant &amp; Equipment</t>
        </is>
      </c>
      <c r="AG24" s="19" t="n">
        <v>12</v>
      </c>
      <c r="AH24" s="15" t="n"/>
    </row>
    <row r="25" ht="18" customHeight="1" s="11">
      <c r="A25" s="22" t="n">
        <v>100020</v>
      </c>
      <c r="B25" s="22" t="inlineStr">
        <is>
          <t>BO214</t>
        </is>
      </c>
      <c r="C25" s="22" t="inlineStr">
        <is>
          <t>Clubrooms</t>
        </is>
      </c>
      <c r="D25" s="22" t="inlineStr">
        <is>
          <t>50 Shephard Street</t>
        </is>
      </c>
      <c r="E25" s="22" t="inlineStr">
        <is>
          <t>Ground Floor</t>
        </is>
      </c>
      <c r="F25" s="22" t="inlineStr">
        <is>
          <t>Kitchen</t>
        </is>
      </c>
      <c r="G25" s="22" t="inlineStr">
        <is>
          <t>Appliances &amp; White Goods</t>
        </is>
      </c>
      <c r="H25" s="22" t="inlineStr">
        <is>
          <t>Kitchen Appliances</t>
        </is>
      </c>
      <c r="I25" s="22" t="inlineStr">
        <is>
          <t>Dishwasher</t>
        </is>
      </c>
      <c r="J25" s="22" t="inlineStr">
        <is>
          <t>--</t>
        </is>
      </c>
      <c r="K25" s="22" t="inlineStr">
        <is>
          <t>Under-bench dishwasher, freestanding</t>
        </is>
      </c>
      <c r="L25" s="22" t="n">
        <v>3</v>
      </c>
      <c r="M25" s="22" t="inlineStr">
        <is>
          <t>Fair</t>
        </is>
      </c>
      <c r="N25" s="22" t="n"/>
      <c r="O25" s="22" t="n"/>
      <c r="P25" s="22" t="n">
        <v>1</v>
      </c>
      <c r="Q25" s="22" t="inlineStr">
        <is>
          <t>ea</t>
        </is>
      </c>
      <c r="R25" s="22" t="n">
        <v>600</v>
      </c>
      <c r="S25" s="22" t="n">
        <v>610</v>
      </c>
      <c r="T25" s="22" t="n">
        <v>850</v>
      </c>
      <c r="U25" s="22" t="n"/>
      <c r="V25" s="22" t="inlineStr">
        <is>
          <t>Bosch</t>
        </is>
      </c>
      <c r="W25" s="22" t="inlineStr">
        <is>
          <t>SMS68TI01A</t>
        </is>
      </c>
      <c r="X25" s="22" t="inlineStr">
        <is>
          <t>SN-BSH-01</t>
        </is>
      </c>
      <c r="Y25" s="22" t="n"/>
      <c r="Z25" s="22" t="inlineStr">
        <is>
          <t>White</t>
        </is>
      </c>
      <c r="AA25" s="22" t="n"/>
      <c r="AB25" s="23" t="n">
        <v>1450</v>
      </c>
      <c r="AC25" s="23">
        <f>AB25*P25</f>
        <v/>
      </c>
      <c r="AD25" s="24" t="n">
        <v>0.5</v>
      </c>
      <c r="AE25" s="23">
        <f>AC25*AD25/100</f>
        <v/>
      </c>
      <c r="AF25" s="22" t="inlineStr">
        <is>
          <t>Plant &amp; Equipment</t>
        </is>
      </c>
      <c r="AG25" s="22" t="n">
        <v>12</v>
      </c>
      <c r="AH25" s="15" t="n"/>
    </row>
    <row r="26" ht="18" customHeight="1" s="11">
      <c r="A26" s="19" t="n">
        <v>100021</v>
      </c>
      <c r="B26" s="19" t="inlineStr">
        <is>
          <t>BO214</t>
        </is>
      </c>
      <c r="C26" s="19" t="inlineStr">
        <is>
          <t>Clubrooms</t>
        </is>
      </c>
      <c r="D26" s="19" t="inlineStr">
        <is>
          <t>50 Shephard Street</t>
        </is>
      </c>
      <c r="E26" s="19" t="inlineStr">
        <is>
          <t>Ground Floor</t>
        </is>
      </c>
      <c r="F26" s="19" t="inlineStr">
        <is>
          <t>Kitchen</t>
        </is>
      </c>
      <c r="G26" s="19" t="inlineStr">
        <is>
          <t>Appliances &amp; White Goods</t>
        </is>
      </c>
      <c r="H26" s="19" t="inlineStr">
        <is>
          <t>Kitchen Appliances</t>
        </is>
      </c>
      <c r="I26" s="19" t="inlineStr">
        <is>
          <t>Microwave Oven</t>
        </is>
      </c>
      <c r="J26" s="19" t="inlineStr">
        <is>
          <t>--</t>
        </is>
      </c>
      <c r="K26" s="19" t="inlineStr">
        <is>
          <t>Countertop microwave oven</t>
        </is>
      </c>
      <c r="L26" s="19" t="n">
        <v>2</v>
      </c>
      <c r="M26" s="19" t="inlineStr">
        <is>
          <t>Good</t>
        </is>
      </c>
      <c r="N26" s="19" t="n"/>
      <c r="O26" s="19" t="n"/>
      <c r="P26" s="19" t="n">
        <v>1</v>
      </c>
      <c r="Q26" s="19" t="inlineStr">
        <is>
          <t>ea</t>
        </is>
      </c>
      <c r="R26" s="19" t="n">
        <v>510</v>
      </c>
      <c r="S26" s="19" t="n">
        <v>430</v>
      </c>
      <c r="T26" s="19" t="n">
        <v>310</v>
      </c>
      <c r="U26" s="19" t="n"/>
      <c r="V26" s="19" t="inlineStr">
        <is>
          <t>Panasonic</t>
        </is>
      </c>
      <c r="W26" s="19" t="inlineStr">
        <is>
          <t>NN-ST664W</t>
        </is>
      </c>
      <c r="X26" s="19" t="n"/>
      <c r="Y26" s="19" t="n"/>
      <c r="Z26" s="19" t="inlineStr">
        <is>
          <t>White</t>
        </is>
      </c>
      <c r="AA26" s="19" t="n"/>
      <c r="AB26" s="20" t="n">
        <v>420</v>
      </c>
      <c r="AC26" s="20">
        <f>AB26*P26</f>
        <v/>
      </c>
      <c r="AD26" s="21" t="n">
        <v>0.75</v>
      </c>
      <c r="AE26" s="20">
        <f>AC26*AD26/100</f>
        <v/>
      </c>
      <c r="AF26" s="19" t="inlineStr">
        <is>
          <t>Plant &amp; Equipment</t>
        </is>
      </c>
      <c r="AG26" s="19" t="n">
        <v>10</v>
      </c>
      <c r="AH26" s="15" t="n"/>
    </row>
    <row r="27" ht="18" customHeight="1" s="11">
      <c r="A27" s="22" t="n">
        <v>100022</v>
      </c>
      <c r="B27" s="22" t="inlineStr">
        <is>
          <t>BO214</t>
        </is>
      </c>
      <c r="C27" s="22" t="inlineStr">
        <is>
          <t>Clubrooms</t>
        </is>
      </c>
      <c r="D27" s="22" t="inlineStr">
        <is>
          <t>50 Shephard Street</t>
        </is>
      </c>
      <c r="E27" s="22" t="inlineStr">
        <is>
          <t>Ground Floor</t>
        </is>
      </c>
      <c r="F27" s="22" t="inlineStr">
        <is>
          <t>Kitchen</t>
        </is>
      </c>
      <c r="G27" s="22" t="inlineStr">
        <is>
          <t>Appliances &amp; White Goods</t>
        </is>
      </c>
      <c r="H27" s="22" t="inlineStr">
        <is>
          <t>Kitchen Appliances</t>
        </is>
      </c>
      <c r="I27" s="22" t="inlineStr">
        <is>
          <t>Coffee Machine (Auto)</t>
        </is>
      </c>
      <c r="J27" s="22" t="inlineStr">
        <is>
          <t>--</t>
        </is>
      </c>
      <c r="K27" s="22" t="inlineStr">
        <is>
          <t>Fully automatic bean-to-cup coffee machine</t>
        </is>
      </c>
      <c r="L27" s="22" t="n">
        <v>2</v>
      </c>
      <c r="M27" s="22" t="inlineStr">
        <is>
          <t>Good</t>
        </is>
      </c>
      <c r="N27" s="22" t="n"/>
      <c r="O27" s="22" t="n"/>
      <c r="P27" s="22" t="n">
        <v>1</v>
      </c>
      <c r="Q27" s="22" t="inlineStr">
        <is>
          <t>ea</t>
        </is>
      </c>
      <c r="R27" s="22" t="n">
        <v>280</v>
      </c>
      <c r="S27" s="22" t="n">
        <v>380</v>
      </c>
      <c r="T27" s="22" t="n">
        <v>360</v>
      </c>
      <c r="U27" s="22" t="n"/>
      <c r="V27" s="22" t="inlineStr">
        <is>
          <t>Jura</t>
        </is>
      </c>
      <c r="W27" s="22" t="inlineStr">
        <is>
          <t>E8</t>
        </is>
      </c>
      <c r="X27" s="22" t="inlineStr">
        <is>
          <t>SN-JURA-01</t>
        </is>
      </c>
      <c r="Y27" s="22" t="n"/>
      <c r="Z27" s="22" t="inlineStr">
        <is>
          <t>Silver/Black</t>
        </is>
      </c>
      <c r="AA27" s="22" t="inlineStr">
        <is>
          <t>Includes integrated milk frother</t>
        </is>
      </c>
      <c r="AB27" s="23" t="n">
        <v>1600</v>
      </c>
      <c r="AC27" s="23">
        <f>AB27*P27</f>
        <v/>
      </c>
      <c r="AD27" s="24" t="n">
        <v>0.75</v>
      </c>
      <c r="AE27" s="23">
        <f>AC27*AD27/100</f>
        <v/>
      </c>
      <c r="AF27" s="22" t="inlineStr">
        <is>
          <t>Plant &amp; Equipment</t>
        </is>
      </c>
      <c r="AG27" s="22" t="n">
        <v>10</v>
      </c>
      <c r="AH27" s="15" t="n"/>
    </row>
    <row r="28" ht="18" customHeight="1" s="11">
      <c r="A28" s="19" t="n">
        <v>100023</v>
      </c>
      <c r="B28" s="19" t="inlineStr">
        <is>
          <t>BO214</t>
        </is>
      </c>
      <c r="C28" s="19" t="inlineStr">
        <is>
          <t>Clubrooms</t>
        </is>
      </c>
      <c r="D28" s="19" t="inlineStr">
        <is>
          <t>50 Shephard Street</t>
        </is>
      </c>
      <c r="E28" s="19" t="inlineStr">
        <is>
          <t>Ground Floor</t>
        </is>
      </c>
      <c r="F28" s="19" t="inlineStr">
        <is>
          <t>Kitchen</t>
        </is>
      </c>
      <c r="G28" s="19" t="inlineStr">
        <is>
          <t>Appliances &amp; White Goods</t>
        </is>
      </c>
      <c r="H28" s="19" t="inlineStr">
        <is>
          <t>Kitchen Appliances</t>
        </is>
      </c>
      <c r="I28" s="19" t="inlineStr">
        <is>
          <t>Water Cooler / Dispenser</t>
        </is>
      </c>
      <c r="J28" s="19" t="inlineStr">
        <is>
          <t>--</t>
        </is>
      </c>
      <c r="K28" s="19" t="inlineStr">
        <is>
          <t>Plumbed-in instant hot/cold/sparkling water tap</t>
        </is>
      </c>
      <c r="L28" s="19" t="n">
        <v>2</v>
      </c>
      <c r="M28" s="19" t="inlineStr">
        <is>
          <t>Good</t>
        </is>
      </c>
      <c r="N28" s="19" t="n"/>
      <c r="O28" s="19" t="n"/>
      <c r="P28" s="19" t="n">
        <v>1</v>
      </c>
      <c r="Q28" s="19" t="inlineStr">
        <is>
          <t>ea</t>
        </is>
      </c>
      <c r="R28" s="19" t="n">
        <v>300</v>
      </c>
      <c r="S28" s="19" t="n">
        <v>370</v>
      </c>
      <c r="T28" s="19" t="n">
        <v>1100</v>
      </c>
      <c r="U28" s="19" t="n"/>
      <c r="V28" s="19" t="inlineStr">
        <is>
          <t>Zip</t>
        </is>
      </c>
      <c r="W28" s="19" t="inlineStr">
        <is>
          <t>HydroTap G5</t>
        </is>
      </c>
      <c r="X28" s="19" t="inlineStr">
        <is>
          <t>SN-ZIP-01</t>
        </is>
      </c>
      <c r="Y28" s="19" t="n"/>
      <c r="Z28" s="19" t="inlineStr">
        <is>
          <t>Chrome/Black</t>
        </is>
      </c>
      <c r="AA28" s="19" t="n"/>
      <c r="AB28" s="20" t="n">
        <v>950</v>
      </c>
      <c r="AC28" s="20">
        <f>AB28*P28</f>
        <v/>
      </c>
      <c r="AD28" s="21" t="n">
        <v>0.75</v>
      </c>
      <c r="AE28" s="20">
        <f>AC28*AD28/100</f>
        <v/>
      </c>
      <c r="AF28" s="19" t="inlineStr">
        <is>
          <t>Plant &amp; Equipment</t>
        </is>
      </c>
      <c r="AG28" s="19" t="n">
        <v>12</v>
      </c>
      <c r="AH28" s="15" t="n"/>
    </row>
    <row r="29" ht="18" customHeight="1" s="11">
      <c r="A29" s="22" t="n">
        <v>100024</v>
      </c>
      <c r="B29" s="22" t="inlineStr">
        <is>
          <t>BO214</t>
        </is>
      </c>
      <c r="C29" s="22" t="inlineStr">
        <is>
          <t>Clubrooms</t>
        </is>
      </c>
      <c r="D29" s="22" t="inlineStr">
        <is>
          <t>50 Shephard Street</t>
        </is>
      </c>
      <c r="E29" s="22" t="inlineStr">
        <is>
          <t>Ground Floor</t>
        </is>
      </c>
      <c r="F29" s="22" t="inlineStr">
        <is>
          <t>Kitchen</t>
        </is>
      </c>
      <c r="G29" s="22" t="inlineStr">
        <is>
          <t>Furniture</t>
        </is>
      </c>
      <c r="H29" s="22" t="inlineStr">
        <is>
          <t>Tables</t>
        </is>
      </c>
      <c r="I29" s="22" t="inlineStr">
        <is>
          <t>Dining Table</t>
        </is>
      </c>
      <c r="J29" s="22" t="inlineStr">
        <is>
          <t>--</t>
        </is>
      </c>
      <c r="K29" s="22" t="inlineStr">
        <is>
          <t>Rectangular dining/breakout table</t>
        </is>
      </c>
      <c r="L29" s="22" t="n">
        <v>3</v>
      </c>
      <c r="M29" s="22" t="inlineStr">
        <is>
          <t>Fair</t>
        </is>
      </c>
      <c r="N29" s="22" t="n"/>
      <c r="O29" s="22" t="n"/>
      <c r="P29" s="22" t="n">
        <v>1</v>
      </c>
      <c r="Q29" s="22" t="inlineStr">
        <is>
          <t>ea</t>
        </is>
      </c>
      <c r="R29" s="22" t="n">
        <v>1800</v>
      </c>
      <c r="S29" s="22" t="n">
        <v>900</v>
      </c>
      <c r="T29" s="22" t="n">
        <v>750</v>
      </c>
      <c r="U29" s="22" t="n"/>
      <c r="V29" s="22" t="n"/>
      <c r="W29" s="22" t="n"/>
      <c r="X29" s="22" t="n"/>
      <c r="Y29" s="22" t="n"/>
      <c r="Z29" s="22" t="inlineStr">
        <is>
          <t>Timber Veneer</t>
        </is>
      </c>
      <c r="AA29" s="22" t="n"/>
      <c r="AB29" s="23" t="n">
        <v>1200</v>
      </c>
      <c r="AC29" s="23">
        <f>AB29*P29</f>
        <v/>
      </c>
      <c r="AD29" s="24" t="n">
        <v>0.5</v>
      </c>
      <c r="AE29" s="23">
        <f>AC29*AD29/100</f>
        <v/>
      </c>
      <c r="AF29" s="22" t="inlineStr">
        <is>
          <t>Contents</t>
        </is>
      </c>
      <c r="AG29" s="22" t="n">
        <v>20</v>
      </c>
      <c r="AH29" s="15" t="n"/>
    </row>
    <row r="30" ht="18" customHeight="1" s="11">
      <c r="A30" s="19" t="n">
        <v>100025</v>
      </c>
      <c r="B30" s="19" t="inlineStr">
        <is>
          <t>BO214</t>
        </is>
      </c>
      <c r="C30" s="19" t="inlineStr">
        <is>
          <t>Clubrooms</t>
        </is>
      </c>
      <c r="D30" s="19" t="inlineStr">
        <is>
          <t>50 Shephard Street</t>
        </is>
      </c>
      <c r="E30" s="19" t="inlineStr">
        <is>
          <t>Ground Floor</t>
        </is>
      </c>
      <c r="F30" s="19" t="inlineStr">
        <is>
          <t>Kitchen</t>
        </is>
      </c>
      <c r="G30" s="19" t="inlineStr">
        <is>
          <t>Furniture</t>
        </is>
      </c>
      <c r="H30" s="19" t="inlineStr">
        <is>
          <t>Seating</t>
        </is>
      </c>
      <c r="I30" s="19" t="inlineStr">
        <is>
          <t>Bar Stool</t>
        </is>
      </c>
      <c r="J30" s="19" t="inlineStr">
        <is>
          <t>--</t>
        </is>
      </c>
      <c r="K30" s="19" t="inlineStr">
        <is>
          <t>Counter-height bar stool with footrest</t>
        </is>
      </c>
      <c r="L30" s="19" t="n">
        <v>2</v>
      </c>
      <c r="M30" s="19" t="inlineStr">
        <is>
          <t>Good</t>
        </is>
      </c>
      <c r="N30" s="19" t="n"/>
      <c r="O30" s="19" t="n"/>
      <c r="P30" s="19" t="n">
        <v>4</v>
      </c>
      <c r="Q30" s="19" t="inlineStr">
        <is>
          <t>ea</t>
        </is>
      </c>
      <c r="R30" s="19" t="n">
        <v>420</v>
      </c>
      <c r="S30" s="19" t="n">
        <v>400</v>
      </c>
      <c r="T30" s="19" t="n">
        <v>770</v>
      </c>
      <c r="U30" s="19" t="n"/>
      <c r="V30" s="19" t="n"/>
      <c r="W30" s="19" t="n"/>
      <c r="X30" s="19" t="n"/>
      <c r="Y30" s="19" t="n"/>
      <c r="Z30" s="19" t="inlineStr">
        <is>
          <t>Charcoal Fabric</t>
        </is>
      </c>
      <c r="AA30" s="19" t="n"/>
      <c r="AB30" s="20" t="n">
        <v>380</v>
      </c>
      <c r="AC30" s="20">
        <f>AB30*P30</f>
        <v/>
      </c>
      <c r="AD30" s="21" t="n">
        <v>0.75</v>
      </c>
      <c r="AE30" s="20">
        <f>AC30*AD30/100</f>
        <v/>
      </c>
      <c r="AF30" s="19" t="inlineStr">
        <is>
          <t>Contents</t>
        </is>
      </c>
      <c r="AG30" s="19" t="n">
        <v>12</v>
      </c>
      <c r="AH30" s="15" t="n"/>
    </row>
    <row r="31" ht="18" customHeight="1" s="11">
      <c r="A31" s="22" t="n">
        <v>100026</v>
      </c>
      <c r="B31" s="22" t="inlineStr">
        <is>
          <t>BO214</t>
        </is>
      </c>
      <c r="C31" s="22" t="inlineStr">
        <is>
          <t>Clubrooms</t>
        </is>
      </c>
      <c r="D31" s="22" t="inlineStr">
        <is>
          <t>50 Shephard Street</t>
        </is>
      </c>
      <c r="E31" s="22" t="inlineStr">
        <is>
          <t>Ground Floor</t>
        </is>
      </c>
      <c r="F31" s="22" t="inlineStr">
        <is>
          <t>Open Plan</t>
        </is>
      </c>
      <c r="G31" s="22" t="inlineStr">
        <is>
          <t>Furniture</t>
        </is>
      </c>
      <c r="H31" s="22" t="inlineStr">
        <is>
          <t>Desks &amp; Workstations</t>
        </is>
      </c>
      <c r="I31" s="22" t="inlineStr">
        <is>
          <t>Height-Adjustable Desk</t>
        </is>
      </c>
      <c r="J31" s="22" t="inlineStr">
        <is>
          <t>Electric</t>
        </is>
      </c>
      <c r="K31" s="22" t="inlineStr">
        <is>
          <t>Electric sit-stand desk with digital height memory</t>
        </is>
      </c>
      <c r="L31" s="22" t="n">
        <v>2</v>
      </c>
      <c r="M31" s="22" t="inlineStr">
        <is>
          <t>Good</t>
        </is>
      </c>
      <c r="N31" s="22" t="n"/>
      <c r="O31" s="22" t="n"/>
      <c r="P31" s="22" t="n">
        <v>6</v>
      </c>
      <c r="Q31" s="22" t="inlineStr">
        <is>
          <t>ea</t>
        </is>
      </c>
      <c r="R31" s="22" t="n">
        <v>1600</v>
      </c>
      <c r="S31" s="22" t="n">
        <v>800</v>
      </c>
      <c r="T31" s="22" t="n">
        <v>650</v>
      </c>
      <c r="U31" s="22" t="n"/>
      <c r="V31" s="22" t="inlineStr">
        <is>
          <t>Ergotron</t>
        </is>
      </c>
      <c r="W31" s="22" t="inlineStr">
        <is>
          <t>WorkFit-D</t>
        </is>
      </c>
      <c r="X31" s="22" t="n"/>
      <c r="Y31" s="22" t="n"/>
      <c r="Z31" s="22" t="inlineStr">
        <is>
          <t>White</t>
        </is>
      </c>
      <c r="AA31" s="22" t="inlineStr">
        <is>
          <t>Height range 650-1280mm</t>
        </is>
      </c>
      <c r="AB31" s="23" t="n">
        <v>2400</v>
      </c>
      <c r="AC31" s="23">
        <f>AB31*P31</f>
        <v/>
      </c>
      <c r="AD31" s="24" t="n">
        <v>0.75</v>
      </c>
      <c r="AE31" s="23">
        <f>AC31*AD31/100</f>
        <v/>
      </c>
      <c r="AF31" s="22" t="inlineStr">
        <is>
          <t>Contents</t>
        </is>
      </c>
      <c r="AG31" s="22" t="n">
        <v>15</v>
      </c>
      <c r="AH31" s="15" t="n"/>
    </row>
    <row r="32" ht="18" customHeight="1" s="11">
      <c r="A32" s="19" t="n">
        <v>100027</v>
      </c>
      <c r="B32" s="19" t="inlineStr">
        <is>
          <t>BO214</t>
        </is>
      </c>
      <c r="C32" s="19" t="inlineStr">
        <is>
          <t>Clubrooms</t>
        </is>
      </c>
      <c r="D32" s="19" t="inlineStr">
        <is>
          <t>50 Shephard Street</t>
        </is>
      </c>
      <c r="E32" s="19" t="inlineStr">
        <is>
          <t>Ground Floor</t>
        </is>
      </c>
      <c r="F32" s="19" t="inlineStr">
        <is>
          <t>Open Plan</t>
        </is>
      </c>
      <c r="G32" s="19" t="inlineStr">
        <is>
          <t>Furniture</t>
        </is>
      </c>
      <c r="H32" s="19" t="inlineStr">
        <is>
          <t>Seating</t>
        </is>
      </c>
      <c r="I32" s="19" t="inlineStr">
        <is>
          <t>Task Chair</t>
        </is>
      </c>
      <c r="J32" s="19" t="inlineStr">
        <is>
          <t>--</t>
        </is>
      </c>
      <c r="K32" s="19" t="inlineStr">
        <is>
          <t>High-performance ergonomic task chair</t>
        </is>
      </c>
      <c r="L32" s="19" t="n">
        <v>2</v>
      </c>
      <c r="M32" s="19" t="inlineStr">
        <is>
          <t>Good</t>
        </is>
      </c>
      <c r="N32" s="19" t="n"/>
      <c r="O32" s="19" t="n"/>
      <c r="P32" s="19" t="n">
        <v>6</v>
      </c>
      <c r="Q32" s="19" t="inlineStr">
        <is>
          <t>ea</t>
        </is>
      </c>
      <c r="R32" s="19" t="n">
        <v>680</v>
      </c>
      <c r="S32" s="19" t="n">
        <v>650</v>
      </c>
      <c r="T32" s="19" t="n">
        <v>920</v>
      </c>
      <c r="U32" s="19" t="n"/>
      <c r="V32" s="19" t="inlineStr">
        <is>
          <t>Herman Miller</t>
        </is>
      </c>
      <c r="W32" s="19" t="inlineStr">
        <is>
          <t>Aeron</t>
        </is>
      </c>
      <c r="X32" s="19" t="n"/>
      <c r="Y32" s="19" t="n"/>
      <c r="Z32" s="19" t="inlineStr">
        <is>
          <t>Black Mesh</t>
        </is>
      </c>
      <c r="AA32" s="19" t="n"/>
      <c r="AB32" s="20" t="n">
        <v>1850</v>
      </c>
      <c r="AC32" s="20">
        <f>AB32*P32</f>
        <v/>
      </c>
      <c r="AD32" s="21" t="n">
        <v>0.75</v>
      </c>
      <c r="AE32" s="20">
        <f>AC32*AD32/100</f>
        <v/>
      </c>
      <c r="AF32" s="19" t="inlineStr">
        <is>
          <t>Contents</t>
        </is>
      </c>
      <c r="AG32" s="19" t="n">
        <v>12</v>
      </c>
      <c r="AH32" s="15" t="n"/>
    </row>
    <row r="33" ht="18" customHeight="1" s="11">
      <c r="A33" s="22" t="n">
        <v>100028</v>
      </c>
      <c r="B33" s="22" t="inlineStr">
        <is>
          <t>BO214</t>
        </is>
      </c>
      <c r="C33" s="22" t="inlineStr">
        <is>
          <t>Clubrooms</t>
        </is>
      </c>
      <c r="D33" s="22" t="inlineStr">
        <is>
          <t>50 Shephard Street</t>
        </is>
      </c>
      <c r="E33" s="22" t="inlineStr">
        <is>
          <t>Ground Floor</t>
        </is>
      </c>
      <c r="F33" s="22" t="inlineStr">
        <is>
          <t>Open Plan</t>
        </is>
      </c>
      <c r="G33" s="22" t="inlineStr">
        <is>
          <t>Information Technology</t>
        </is>
      </c>
      <c r="H33" s="22" t="inlineStr">
        <is>
          <t>Display &amp; Peripherals</t>
        </is>
      </c>
      <c r="I33" s="22" t="inlineStr">
        <is>
          <t>Monitor / Screen</t>
        </is>
      </c>
      <c r="J33" s="22" t="inlineStr">
        <is>
          <t>--</t>
        </is>
      </c>
      <c r="K33" s="22" t="inlineStr">
        <is>
          <t>27-inch USB-C IPS monitor</t>
        </is>
      </c>
      <c r="L33" s="22" t="n">
        <v>2</v>
      </c>
      <c r="M33" s="22" t="inlineStr">
        <is>
          <t>Good</t>
        </is>
      </c>
      <c r="N33" s="22" t="n"/>
      <c r="O33" s="22" t="n"/>
      <c r="P33" s="22" t="n">
        <v>12</v>
      </c>
      <c r="Q33" s="22" t="inlineStr">
        <is>
          <t>ea</t>
        </is>
      </c>
      <c r="R33" s="22" t="n"/>
      <c r="S33" s="22" t="n"/>
      <c r="T33" s="22" t="n"/>
      <c r="U33" s="22" t="n">
        <v>27</v>
      </c>
      <c r="V33" s="22" t="inlineStr">
        <is>
          <t>Dell</t>
        </is>
      </c>
      <c r="W33" s="22" t="inlineStr">
        <is>
          <t>U2722D</t>
        </is>
      </c>
      <c r="X33" s="22" t="n"/>
      <c r="Y33" s="22" t="n"/>
      <c r="Z33" s="22" t="inlineStr">
        <is>
          <t>Black</t>
        </is>
      </c>
      <c r="AA33" s="22" t="n"/>
      <c r="AB33" s="23" t="n">
        <v>580</v>
      </c>
      <c r="AC33" s="23">
        <f>AB33*P33</f>
        <v/>
      </c>
      <c r="AD33" s="24" t="n">
        <v>0.75</v>
      </c>
      <c r="AE33" s="23">
        <f>AC33*AD33/100</f>
        <v/>
      </c>
      <c r="AF33" s="22" t="inlineStr">
        <is>
          <t>Plant &amp; Equipment</t>
        </is>
      </c>
      <c r="AG33" s="22" t="n">
        <v>5</v>
      </c>
      <c r="AH33" s="15" t="n"/>
    </row>
    <row r="34" ht="18" customHeight="1" s="11">
      <c r="A34" s="19" t="n">
        <v>100029</v>
      </c>
      <c r="B34" s="19" t="inlineStr">
        <is>
          <t>BO214</t>
        </is>
      </c>
      <c r="C34" s="19" t="inlineStr">
        <is>
          <t>Clubrooms</t>
        </is>
      </c>
      <c r="D34" s="19" t="inlineStr">
        <is>
          <t>50 Shephard Street</t>
        </is>
      </c>
      <c r="E34" s="19" t="inlineStr">
        <is>
          <t>Ground Floor</t>
        </is>
      </c>
      <c r="F34" s="19" t="inlineStr">
        <is>
          <t>Open Plan</t>
        </is>
      </c>
      <c r="G34" s="19" t="inlineStr">
        <is>
          <t>Furniture</t>
        </is>
      </c>
      <c r="H34" s="19" t="inlineStr">
        <is>
          <t>Screens &amp; Partitions</t>
        </is>
      </c>
      <c r="I34" s="19" t="inlineStr">
        <is>
          <t>Acoustic Screen</t>
        </is>
      </c>
      <c r="J34" s="19" t="inlineStr">
        <is>
          <t>--</t>
        </is>
      </c>
      <c r="K34" s="19" t="inlineStr">
        <is>
          <t>Freestanding acoustic desk divider screen</t>
        </is>
      </c>
      <c r="L34" s="19" t="n">
        <v>2</v>
      </c>
      <c r="M34" s="19" t="inlineStr">
        <is>
          <t>Good</t>
        </is>
      </c>
      <c r="N34" s="19" t="n"/>
      <c r="O34" s="19" t="n"/>
      <c r="P34" s="19" t="n">
        <v>8</v>
      </c>
      <c r="Q34" s="19" t="inlineStr">
        <is>
          <t>ea</t>
        </is>
      </c>
      <c r="R34" s="19" t="n">
        <v>1200</v>
      </c>
      <c r="S34" s="19" t="n">
        <v>50</v>
      </c>
      <c r="T34" s="19" t="n">
        <v>1200</v>
      </c>
      <c r="U34" s="19" t="n"/>
      <c r="V34" s="19" t="n"/>
      <c r="W34" s="19" t="n"/>
      <c r="X34" s="19" t="n"/>
      <c r="Y34" s="19" t="n"/>
      <c r="Z34" s="19" t="inlineStr">
        <is>
          <t>Grey Fabric</t>
        </is>
      </c>
      <c r="AA34" s="19" t="n"/>
      <c r="AB34" s="20" t="n">
        <v>480</v>
      </c>
      <c r="AC34" s="20">
        <f>AB34*P34</f>
        <v/>
      </c>
      <c r="AD34" s="21" t="n">
        <v>0.75</v>
      </c>
      <c r="AE34" s="20">
        <f>AC34*AD34/100</f>
        <v/>
      </c>
      <c r="AF34" s="19" t="inlineStr">
        <is>
          <t>Contents</t>
        </is>
      </c>
      <c r="AG34" s="19" t="n">
        <v>15</v>
      </c>
      <c r="AH34" s="15" t="n"/>
    </row>
    <row r="35" ht="18" customHeight="1" s="11">
      <c r="A35" s="22" t="n">
        <v>100030</v>
      </c>
      <c r="B35" s="22" t="inlineStr">
        <is>
          <t>BO214</t>
        </is>
      </c>
      <c r="C35" s="22" t="inlineStr">
        <is>
          <t>Clubrooms</t>
        </is>
      </c>
      <c r="D35" s="22" t="inlineStr">
        <is>
          <t>50 Shephard Street</t>
        </is>
      </c>
      <c r="E35" s="22" t="inlineStr">
        <is>
          <t>Ground Floor</t>
        </is>
      </c>
      <c r="F35" s="22" t="inlineStr">
        <is>
          <t>Open Plan</t>
        </is>
      </c>
      <c r="G35" s="22" t="inlineStr">
        <is>
          <t>Furniture</t>
        </is>
      </c>
      <c r="H35" s="22" t="inlineStr">
        <is>
          <t>Seating</t>
        </is>
      </c>
      <c r="I35" s="22" t="inlineStr">
        <is>
          <t>Visitor Chair</t>
        </is>
      </c>
      <c r="J35" s="22" t="inlineStr">
        <is>
          <t>--</t>
        </is>
      </c>
      <c r="K35" s="22" t="inlineStr">
        <is>
          <t>4-leg visitor chair with upholstered seat</t>
        </is>
      </c>
      <c r="L35" s="22" t="n">
        <v>3</v>
      </c>
      <c r="M35" s="22" t="inlineStr">
        <is>
          <t>Fair</t>
        </is>
      </c>
      <c r="N35" s="22" t="n"/>
      <c r="O35" s="22" t="n"/>
      <c r="P35" s="22" t="n">
        <v>4</v>
      </c>
      <c r="Q35" s="22" t="inlineStr">
        <is>
          <t>ea</t>
        </is>
      </c>
      <c r="R35" s="22" t="n">
        <v>520</v>
      </c>
      <c r="S35" s="22" t="n">
        <v>560</v>
      </c>
      <c r="T35" s="22" t="n">
        <v>820</v>
      </c>
      <c r="U35" s="22" t="n"/>
      <c r="V35" s="22" t="n"/>
      <c r="W35" s="22" t="n"/>
      <c r="X35" s="22" t="n"/>
      <c r="Y35" s="22" t="n"/>
      <c r="Z35" s="22" t="inlineStr">
        <is>
          <t>Charcoal Fabric</t>
        </is>
      </c>
      <c r="AA35" s="22" t="n"/>
      <c r="AB35" s="23" t="n">
        <v>420</v>
      </c>
      <c r="AC35" s="23">
        <f>AB35*P35</f>
        <v/>
      </c>
      <c r="AD35" s="24" t="n">
        <v>0.5</v>
      </c>
      <c r="AE35" s="23">
        <f>AC35*AD35/100</f>
        <v/>
      </c>
      <c r="AF35" s="22" t="inlineStr">
        <is>
          <t>Contents</t>
        </is>
      </c>
      <c r="AG35" s="22" t="n">
        <v>12</v>
      </c>
      <c r="AH35" s="15" t="n"/>
    </row>
    <row r="36" ht="18" customHeight="1" s="11">
      <c r="A36" s="19" t="n">
        <v>100031</v>
      </c>
      <c r="B36" s="19" t="inlineStr">
        <is>
          <t>BO214</t>
        </is>
      </c>
      <c r="C36" s="19" t="inlineStr">
        <is>
          <t>Clubrooms</t>
        </is>
      </c>
      <c r="D36" s="19" t="inlineStr">
        <is>
          <t>50 Shephard Street</t>
        </is>
      </c>
      <c r="E36" s="19" t="inlineStr">
        <is>
          <t>Ground Floor</t>
        </is>
      </c>
      <c r="F36" s="19" t="inlineStr">
        <is>
          <t>Open Plan</t>
        </is>
      </c>
      <c r="G36" s="19" t="inlineStr">
        <is>
          <t>Information Technology</t>
        </is>
      </c>
      <c r="H36" s="19" t="inlineStr">
        <is>
          <t>Computing</t>
        </is>
      </c>
      <c r="I36" s="19" t="inlineStr">
        <is>
          <t>Laptop / Notebook</t>
        </is>
      </c>
      <c r="J36" s="19" t="inlineStr">
        <is>
          <t>--</t>
        </is>
      </c>
      <c r="K36" s="19" t="inlineStr">
        <is>
          <t>Business laptop with docking station</t>
        </is>
      </c>
      <c r="L36" s="19" t="n">
        <v>2</v>
      </c>
      <c r="M36" s="19" t="inlineStr">
        <is>
          <t>Good</t>
        </is>
      </c>
      <c r="N36" s="19" t="n"/>
      <c r="O36" s="19" t="n"/>
      <c r="P36" s="19" t="n">
        <v>6</v>
      </c>
      <c r="Q36" s="19" t="inlineStr">
        <is>
          <t>ea</t>
        </is>
      </c>
      <c r="R36" s="19" t="n">
        <v>320</v>
      </c>
      <c r="S36" s="19" t="n">
        <v>230</v>
      </c>
      <c r="T36" s="19" t="n">
        <v>18</v>
      </c>
      <c r="U36" s="19" t="n"/>
      <c r="V36" s="19" t="inlineStr">
        <is>
          <t>Dell</t>
        </is>
      </c>
      <c r="W36" s="19" t="inlineStr">
        <is>
          <t>Latitude 5540</t>
        </is>
      </c>
      <c r="X36" s="19" t="n"/>
      <c r="Y36" s="19" t="n"/>
      <c r="Z36" s="19" t="inlineStr">
        <is>
          <t>Black</t>
        </is>
      </c>
      <c r="AA36" s="19" t="n"/>
      <c r="AB36" s="20" t="n">
        <v>2100</v>
      </c>
      <c r="AC36" s="20">
        <f>AB36*P36</f>
        <v/>
      </c>
      <c r="AD36" s="21" t="n">
        <v>0.75</v>
      </c>
      <c r="AE36" s="20">
        <f>AC36*AD36/100</f>
        <v/>
      </c>
      <c r="AF36" s="19" t="inlineStr">
        <is>
          <t>Plant &amp; Equipment</t>
        </is>
      </c>
      <c r="AG36" s="19" t="n">
        <v>5</v>
      </c>
      <c r="AH36" s="15" t="n"/>
    </row>
    <row r="37" ht="18" customHeight="1" s="11">
      <c r="A37" s="22" t="n">
        <v>100032</v>
      </c>
      <c r="B37" s="22" t="inlineStr">
        <is>
          <t>BO214</t>
        </is>
      </c>
      <c r="C37" s="22" t="inlineStr">
        <is>
          <t>Clubrooms</t>
        </is>
      </c>
      <c r="D37" s="22" t="inlineStr">
        <is>
          <t>50 Shephard Street</t>
        </is>
      </c>
      <c r="E37" s="22" t="inlineStr">
        <is>
          <t>Ground Floor</t>
        </is>
      </c>
      <c r="F37" s="22" t="inlineStr">
        <is>
          <t>Store Room</t>
        </is>
      </c>
      <c r="G37" s="22" t="inlineStr">
        <is>
          <t>Furniture</t>
        </is>
      </c>
      <c r="H37" s="22" t="inlineStr">
        <is>
          <t>Storage &amp; Filing</t>
        </is>
      </c>
      <c r="I37" s="22" t="inlineStr">
        <is>
          <t>Bookcase / Shelf Unit</t>
        </is>
      </c>
      <c r="J37" s="22" t="inlineStr">
        <is>
          <t>--</t>
        </is>
      </c>
      <c r="K37" s="22" t="inlineStr">
        <is>
          <t>5-shelf steel shelf unit, heavy duty</t>
        </is>
      </c>
      <c r="L37" s="22" t="n">
        <v>3</v>
      </c>
      <c r="M37" s="22" t="inlineStr">
        <is>
          <t>Fair</t>
        </is>
      </c>
      <c r="N37" s="22" t="n"/>
      <c r="O37" s="22" t="n"/>
      <c r="P37" s="22" t="n">
        <v>6</v>
      </c>
      <c r="Q37" s="22" t="inlineStr">
        <is>
          <t>ea</t>
        </is>
      </c>
      <c r="R37" s="22" t="n">
        <v>900</v>
      </c>
      <c r="S37" s="22" t="n">
        <v>380</v>
      </c>
      <c r="T37" s="22" t="n">
        <v>1980</v>
      </c>
      <c r="U37" s="22" t="n"/>
      <c r="V37" s="22" t="n"/>
      <c r="W37" s="22" t="n"/>
      <c r="X37" s="22" t="n"/>
      <c r="Y37" s="22" t="n"/>
      <c r="Z37" s="22" t="inlineStr">
        <is>
          <t>White</t>
        </is>
      </c>
      <c r="AA37" s="22" t="n"/>
      <c r="AB37" s="23" t="n">
        <v>620</v>
      </c>
      <c r="AC37" s="23">
        <f>AB37*P37</f>
        <v/>
      </c>
      <c r="AD37" s="24" t="n">
        <v>0.5</v>
      </c>
      <c r="AE37" s="23">
        <f>AC37*AD37/100</f>
        <v/>
      </c>
      <c r="AF37" s="22" t="inlineStr">
        <is>
          <t>Contents</t>
        </is>
      </c>
      <c r="AG37" s="22" t="n">
        <v>20</v>
      </c>
      <c r="AH37" s="15" t="n"/>
    </row>
    <row r="38" ht="18" customHeight="1" s="11">
      <c r="A38" s="19" t="n">
        <v>100033</v>
      </c>
      <c r="B38" s="19" t="inlineStr">
        <is>
          <t>BO214</t>
        </is>
      </c>
      <c r="C38" s="19" t="inlineStr">
        <is>
          <t>Clubrooms</t>
        </is>
      </c>
      <c r="D38" s="19" t="inlineStr">
        <is>
          <t>50 Shephard Street</t>
        </is>
      </c>
      <c r="E38" s="19" t="inlineStr">
        <is>
          <t>Ground Floor</t>
        </is>
      </c>
      <c r="F38" s="19" t="inlineStr">
        <is>
          <t>Store Room</t>
        </is>
      </c>
      <c r="G38" s="19" t="inlineStr">
        <is>
          <t>Furniture</t>
        </is>
      </c>
      <c r="H38" s="19" t="inlineStr">
        <is>
          <t>Storage &amp; Filing</t>
        </is>
      </c>
      <c r="I38" s="19" t="inlineStr">
        <is>
          <t>Locker</t>
        </is>
      </c>
      <c r="J38" s="19" t="inlineStr">
        <is>
          <t>Quad</t>
        </is>
      </c>
      <c r="K38" s="19" t="inlineStr">
        <is>
          <t>4-door staff locker with padlock provision</t>
        </is>
      </c>
      <c r="L38" s="19" t="n">
        <v>4</v>
      </c>
      <c r="M38" s="19" t="inlineStr">
        <is>
          <t>Poor</t>
        </is>
      </c>
      <c r="N38" s="19" t="n"/>
      <c r="O38" s="19" t="n"/>
      <c r="P38" s="19" t="n">
        <v>3</v>
      </c>
      <c r="Q38" s="19" t="inlineStr">
        <is>
          <t>ea</t>
        </is>
      </c>
      <c r="R38" s="19" t="n">
        <v>900</v>
      </c>
      <c r="S38" s="19" t="n">
        <v>450</v>
      </c>
      <c r="T38" s="19" t="n">
        <v>1800</v>
      </c>
      <c r="U38" s="19" t="n"/>
      <c r="V38" s="19" t="inlineStr">
        <is>
          <t>Brownbuilt</t>
        </is>
      </c>
      <c r="W38" s="19" t="n"/>
      <c r="X38" s="19" t="n"/>
      <c r="Y38" s="19" t="n"/>
      <c r="Z38" s="19" t="inlineStr">
        <is>
          <t>Grey</t>
        </is>
      </c>
      <c r="AA38" s="19" t="inlineStr">
        <is>
          <t>Doors showing rust and impact damage</t>
        </is>
      </c>
      <c r="AB38" s="20" t="n">
        <v>650</v>
      </c>
      <c r="AC38" s="20">
        <f>AB38*P38</f>
        <v/>
      </c>
      <c r="AD38" s="21" t="n">
        <v>0.25</v>
      </c>
      <c r="AE38" s="20">
        <f>AC38*AD38/100</f>
        <v/>
      </c>
      <c r="AF38" s="19" t="inlineStr">
        <is>
          <t>Contents</t>
        </is>
      </c>
      <c r="AG38" s="19" t="n">
        <v>20</v>
      </c>
      <c r="AH38" s="15" t="n"/>
    </row>
    <row r="39" ht="18" customHeight="1" s="11">
      <c r="A39" s="22" t="n">
        <v>100034</v>
      </c>
      <c r="B39" s="22" t="inlineStr">
        <is>
          <t>BO214</t>
        </is>
      </c>
      <c r="C39" s="22" t="inlineStr">
        <is>
          <t>Clubrooms</t>
        </is>
      </c>
      <c r="D39" s="22" t="inlineStr">
        <is>
          <t>50 Shephard Street</t>
        </is>
      </c>
      <c r="E39" s="22" t="inlineStr">
        <is>
          <t>Ground Floor</t>
        </is>
      </c>
      <c r="F39" s="22" t="inlineStr">
        <is>
          <t>Lobby</t>
        </is>
      </c>
      <c r="G39" s="22" t="inlineStr">
        <is>
          <t>Furniture</t>
        </is>
      </c>
      <c r="H39" s="22" t="inlineStr">
        <is>
          <t>Seating</t>
        </is>
      </c>
      <c r="I39" s="22" t="inlineStr">
        <is>
          <t>Lounge Chair / Sofa</t>
        </is>
      </c>
      <c r="J39" s="22" t="inlineStr">
        <is>
          <t>2-Seater</t>
        </is>
      </c>
      <c r="K39" s="22" t="inlineStr">
        <is>
          <t>2-seater lounge sofa</t>
        </is>
      </c>
      <c r="L39" s="22" t="n">
        <v>2</v>
      </c>
      <c r="M39" s="22" t="inlineStr">
        <is>
          <t>Good</t>
        </is>
      </c>
      <c r="N39" s="22" t="n"/>
      <c r="O39" s="22" t="n"/>
      <c r="P39" s="22" t="n">
        <v>2</v>
      </c>
      <c r="Q39" s="22" t="inlineStr">
        <is>
          <t>ea</t>
        </is>
      </c>
      <c r="R39" s="22" t="n">
        <v>1600</v>
      </c>
      <c r="S39" s="22" t="n">
        <v>850</v>
      </c>
      <c r="T39" s="22" t="n">
        <v>780</v>
      </c>
      <c r="U39" s="22" t="n"/>
      <c r="V39" s="22" t="n"/>
      <c r="W39" s="22" t="n"/>
      <c r="X39" s="22" t="n"/>
      <c r="Y39" s="22" t="n"/>
      <c r="Z39" s="22" t="inlineStr">
        <is>
          <t>Navy Fabric</t>
        </is>
      </c>
      <c r="AA39" s="22" t="n"/>
      <c r="AB39" s="23" t="n">
        <v>1900</v>
      </c>
      <c r="AC39" s="23">
        <f>AB39*P39</f>
        <v/>
      </c>
      <c r="AD39" s="24" t="n">
        <v>0.75</v>
      </c>
      <c r="AE39" s="23">
        <f>AC39*AD39/100</f>
        <v/>
      </c>
      <c r="AF39" s="22" t="inlineStr">
        <is>
          <t>Contents</t>
        </is>
      </c>
      <c r="AG39" s="22" t="n">
        <v>12</v>
      </c>
      <c r="AH39" s="15" t="n"/>
    </row>
    <row r="40" ht="18" customHeight="1" s="11">
      <c r="A40" s="19" t="n">
        <v>100035</v>
      </c>
      <c r="B40" s="19" t="inlineStr">
        <is>
          <t>BO214</t>
        </is>
      </c>
      <c r="C40" s="19" t="inlineStr">
        <is>
          <t>Clubrooms</t>
        </is>
      </c>
      <c r="D40" s="19" t="inlineStr">
        <is>
          <t>50 Shephard Street</t>
        </is>
      </c>
      <c r="E40" s="19" t="inlineStr">
        <is>
          <t>Ground Floor</t>
        </is>
      </c>
      <c r="F40" s="19" t="inlineStr">
        <is>
          <t>Lobby</t>
        </is>
      </c>
      <c r="G40" s="19" t="inlineStr">
        <is>
          <t>Furniture</t>
        </is>
      </c>
      <c r="H40" s="19" t="inlineStr">
        <is>
          <t>Seating</t>
        </is>
      </c>
      <c r="I40" s="19" t="inlineStr">
        <is>
          <t>Lounge Chair / Sofa</t>
        </is>
      </c>
      <c r="J40" s="19" t="inlineStr">
        <is>
          <t>1-Seater</t>
        </is>
      </c>
      <c r="K40" s="19" t="inlineStr">
        <is>
          <t>Single-seat armchair</t>
        </is>
      </c>
      <c r="L40" s="19" t="n">
        <v>2</v>
      </c>
      <c r="M40" s="19" t="inlineStr">
        <is>
          <t>Good</t>
        </is>
      </c>
      <c r="N40" s="19" t="n"/>
      <c r="O40" s="19" t="n"/>
      <c r="P40" s="19" t="n">
        <v>2</v>
      </c>
      <c r="Q40" s="19" t="inlineStr">
        <is>
          <t>ea</t>
        </is>
      </c>
      <c r="R40" s="19" t="n">
        <v>900</v>
      </c>
      <c r="S40" s="19" t="n">
        <v>850</v>
      </c>
      <c r="T40" s="19" t="n">
        <v>780</v>
      </c>
      <c r="U40" s="19" t="n"/>
      <c r="V40" s="19" t="n"/>
      <c r="W40" s="19" t="n"/>
      <c r="X40" s="19" t="n"/>
      <c r="Y40" s="19" t="n"/>
      <c r="Z40" s="19" t="inlineStr">
        <is>
          <t>Navy Fabric</t>
        </is>
      </c>
      <c r="AA40" s="19" t="n"/>
      <c r="AB40" s="20" t="n">
        <v>1100</v>
      </c>
      <c r="AC40" s="20">
        <f>AB40*P40</f>
        <v/>
      </c>
      <c r="AD40" s="21" t="n">
        <v>0.75</v>
      </c>
      <c r="AE40" s="20">
        <f>AC40*AD40/100</f>
        <v/>
      </c>
      <c r="AF40" s="19" t="inlineStr">
        <is>
          <t>Contents</t>
        </is>
      </c>
      <c r="AG40" s="19" t="n">
        <v>12</v>
      </c>
      <c r="AH40" s="15" t="n"/>
    </row>
    <row r="41" ht="18" customHeight="1" s="11">
      <c r="A41" s="22" t="n">
        <v>100036</v>
      </c>
      <c r="B41" s="22" t="inlineStr">
        <is>
          <t>BO214</t>
        </is>
      </c>
      <c r="C41" s="22" t="inlineStr">
        <is>
          <t>Clubrooms</t>
        </is>
      </c>
      <c r="D41" s="22" t="inlineStr">
        <is>
          <t>50 Shephard Street</t>
        </is>
      </c>
      <c r="E41" s="22" t="inlineStr">
        <is>
          <t>Ground Floor</t>
        </is>
      </c>
      <c r="F41" s="22" t="inlineStr">
        <is>
          <t>Lobby</t>
        </is>
      </c>
      <c r="G41" s="22" t="inlineStr">
        <is>
          <t>Audio Visual</t>
        </is>
      </c>
      <c r="H41" s="22" t="inlineStr">
        <is>
          <t>Display Systems</t>
        </is>
      </c>
      <c r="I41" s="22" t="inlineStr">
        <is>
          <t>Digital Signage Screen</t>
        </is>
      </c>
      <c r="J41" s="22" t="inlineStr">
        <is>
          <t>--</t>
        </is>
      </c>
      <c r="K41" s="22" t="inlineStr">
        <is>
          <t>Commercial-grade digital signage display, landscape orientation</t>
        </is>
      </c>
      <c r="L41" s="22" t="n">
        <v>2</v>
      </c>
      <c r="M41" s="22" t="inlineStr">
        <is>
          <t>Good</t>
        </is>
      </c>
      <c r="N41" s="22" t="n"/>
      <c r="O41" s="22" t="n"/>
      <c r="P41" s="22" t="n">
        <v>1</v>
      </c>
      <c r="Q41" s="22" t="inlineStr">
        <is>
          <t>ea</t>
        </is>
      </c>
      <c r="R41" s="22" t="n"/>
      <c r="S41" s="22" t="n"/>
      <c r="T41" s="22" t="n"/>
      <c r="U41" s="22" t="n">
        <v>55</v>
      </c>
      <c r="V41" s="22" t="inlineStr">
        <is>
          <t>Samsung</t>
        </is>
      </c>
      <c r="W41" s="22" t="inlineStr">
        <is>
          <t>QH55B</t>
        </is>
      </c>
      <c r="X41" s="22" t="inlineStr">
        <is>
          <t>SN-SAM-02</t>
        </is>
      </c>
      <c r="Y41" s="22" t="n"/>
      <c r="Z41" s="22" t="inlineStr">
        <is>
          <t>Black</t>
        </is>
      </c>
      <c r="AA41" s="22" t="n"/>
      <c r="AB41" s="23" t="n">
        <v>2800</v>
      </c>
      <c r="AC41" s="23">
        <f>AB41*P41</f>
        <v/>
      </c>
      <c r="AD41" s="24" t="n">
        <v>0.75</v>
      </c>
      <c r="AE41" s="23">
        <f>AC41*AD41/100</f>
        <v/>
      </c>
      <c r="AF41" s="22" t="inlineStr">
        <is>
          <t>Plant &amp; Equipment</t>
        </is>
      </c>
      <c r="AG41" s="22" t="n">
        <v>8</v>
      </c>
      <c r="AH41" s="15" t="n"/>
    </row>
    <row r="42" ht="18" customHeight="1" s="11">
      <c r="A42" s="19" t="n">
        <v>100037</v>
      </c>
      <c r="B42" s="19" t="inlineStr">
        <is>
          <t>BO214</t>
        </is>
      </c>
      <c r="C42" s="19" t="inlineStr">
        <is>
          <t>Clubrooms</t>
        </is>
      </c>
      <c r="D42" s="19" t="inlineStr">
        <is>
          <t>50 Shephard Street</t>
        </is>
      </c>
      <c r="E42" s="19" t="inlineStr">
        <is>
          <t>Ground Floor</t>
        </is>
      </c>
      <c r="F42" s="19" t="inlineStr">
        <is>
          <t>Lobby</t>
        </is>
      </c>
      <c r="G42" s="19" t="inlineStr">
        <is>
          <t>Furniture</t>
        </is>
      </c>
      <c r="H42" s="19" t="inlineStr">
        <is>
          <t>Soft Furnishings</t>
        </is>
      </c>
      <c r="I42" s="19" t="inlineStr">
        <is>
          <t>Artwork / Print</t>
        </is>
      </c>
      <c r="J42" s="19" t="inlineStr">
        <is>
          <t>--</t>
        </is>
      </c>
      <c r="K42" s="19" t="inlineStr">
        <is>
          <t>Framed architectural print, professionally mounted</t>
        </is>
      </c>
      <c r="L42" s="19" t="n">
        <v>2</v>
      </c>
      <c r="M42" s="19" t="inlineStr">
        <is>
          <t>Good</t>
        </is>
      </c>
      <c r="N42" s="19" t="n"/>
      <c r="O42" s="19" t="n"/>
      <c r="P42" s="19" t="n">
        <v>4</v>
      </c>
      <c r="Q42" s="19" t="inlineStr">
        <is>
          <t>ea</t>
        </is>
      </c>
      <c r="R42" s="19" t="n">
        <v>600</v>
      </c>
      <c r="S42" s="19" t="n">
        <v>50</v>
      </c>
      <c r="T42" s="19" t="n">
        <v>800</v>
      </c>
      <c r="U42" s="19" t="n"/>
      <c r="V42" s="19" t="n"/>
      <c r="W42" s="19" t="n"/>
      <c r="X42" s="19" t="n"/>
      <c r="Y42" s="19" t="n"/>
      <c r="Z42" s="19" t="inlineStr">
        <is>
          <t>Black Frame</t>
        </is>
      </c>
      <c r="AA42" s="19" t="n"/>
      <c r="AB42" s="20" t="n">
        <v>350</v>
      </c>
      <c r="AC42" s="20">
        <f>AB42*P42</f>
        <v/>
      </c>
      <c r="AD42" s="21" t="n">
        <v>0.75</v>
      </c>
      <c r="AE42" s="20">
        <f>AC42*AD42/100</f>
        <v/>
      </c>
      <c r="AF42" s="19" t="inlineStr">
        <is>
          <t>Contents</t>
        </is>
      </c>
      <c r="AG42" s="19" t="n">
        <v>20</v>
      </c>
      <c r="AH42" s="15" t="n"/>
    </row>
    <row r="43" ht="18" customHeight="1" s="11">
      <c r="A43" s="22" t="n">
        <v>100038</v>
      </c>
      <c r="B43" s="22" t="inlineStr">
        <is>
          <t>BO214</t>
        </is>
      </c>
      <c r="C43" s="22" t="inlineStr">
        <is>
          <t>Clubrooms</t>
        </is>
      </c>
      <c r="D43" s="22" t="inlineStr">
        <is>
          <t>50 Shephard Street</t>
        </is>
      </c>
      <c r="E43" s="22" t="inlineStr">
        <is>
          <t>Ground Floor</t>
        </is>
      </c>
      <c r="F43" s="22" t="inlineStr">
        <is>
          <t>Open Plan</t>
        </is>
      </c>
      <c r="G43" s="22" t="inlineStr">
        <is>
          <t>Office Equipment</t>
        </is>
      </c>
      <c r="H43" s="22" t="inlineStr">
        <is>
          <t>Mail &amp; Document</t>
        </is>
      </c>
      <c r="I43" s="22" t="inlineStr">
        <is>
          <t>Shredder</t>
        </is>
      </c>
      <c r="J43" s="22" t="inlineStr">
        <is>
          <t>--</t>
        </is>
      </c>
      <c r="K43" s="22" t="inlineStr">
        <is>
          <t>Cross-cut paper shredder, P-4 security level</t>
        </is>
      </c>
      <c r="L43" s="22" t="n">
        <v>4</v>
      </c>
      <c r="M43" s="22" t="inlineStr">
        <is>
          <t>Poor</t>
        </is>
      </c>
      <c r="N43" s="22" t="n"/>
      <c r="O43" s="22" t="n"/>
      <c r="P43" s="22" t="n">
        <v>1</v>
      </c>
      <c r="Q43" s="22" t="inlineStr">
        <is>
          <t>ea</t>
        </is>
      </c>
      <c r="R43" s="22" t="n">
        <v>360</v>
      </c>
      <c r="S43" s="22" t="n">
        <v>230</v>
      </c>
      <c r="T43" s="22" t="n">
        <v>580</v>
      </c>
      <c r="U43" s="22" t="n"/>
      <c r="V43" s="22" t="inlineStr">
        <is>
          <t>Fellowes</t>
        </is>
      </c>
      <c r="W43" s="22" t="inlineStr">
        <is>
          <t>Powershred 79Ci</t>
        </is>
      </c>
      <c r="X43" s="22" t="inlineStr">
        <is>
          <t>SN-FEL-01</t>
        </is>
      </c>
      <c r="Y43" s="22" t="n"/>
      <c r="Z43" s="22" t="inlineStr">
        <is>
          <t>Black/Silver</t>
        </is>
      </c>
      <c r="AA43" s="22" t="n"/>
      <c r="AB43" s="23" t="n">
        <v>520</v>
      </c>
      <c r="AC43" s="23">
        <f>AB43*P43</f>
        <v/>
      </c>
      <c r="AD43" s="24" t="n">
        <v>0.25</v>
      </c>
      <c r="AE43" s="23">
        <f>AC43*AD43/100</f>
        <v/>
      </c>
      <c r="AF43" s="22" t="inlineStr">
        <is>
          <t>Plant &amp; Equipment</t>
        </is>
      </c>
      <c r="AG43" s="22" t="n">
        <v>10</v>
      </c>
      <c r="A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</row>
  </sheetData>
  <autoFilter ref="A5:AG5"/>
  <mergeCells count="2">
    <mergeCell ref="A2:AG2"/>
    <mergeCell ref="A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Damian Ferguson</dc:creator>
  <dcterms:created xmlns:dcterms="http://purl.org/dc/terms/" xmlns:xsi="http://www.w3.org/2001/XMLSchema-instance" xsi:type="dcterms:W3CDTF">2026-04-17T06:05:29Z</dcterms:created>
  <dcterms:modified xmlns:dcterms="http://purl.org/dc/terms/" xmlns:xsi="http://www.w3.org/2001/XMLSchema-instance" xsi:type="dcterms:W3CDTF">2026-04-19T06:02:15Z</dcterms:modified>
  <cp:lastModifiedBy>Damian Ferguson</cp:lastModifiedBy>
</cp:coreProperties>
</file>