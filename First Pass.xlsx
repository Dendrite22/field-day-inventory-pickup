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mia\Documents\Projects\field-day-inventory-pickup\"/>
    </mc:Choice>
  </mc:AlternateContent>
  <xr:revisionPtr revIDLastSave="0" documentId="13_ncr:1_{29A94D11-8252-4B44-B18A-A71B15C152E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mplate" sheetId="1" r:id="rId1"/>
    <sheet name="Asset_Library" sheetId="3" r:id="rId2"/>
  </sheets>
  <definedNames>
    <definedName name="_xlnm._FilterDatabase" localSheetId="1" hidden="1">Asset_Library!$A$1:$AG$1</definedName>
    <definedName name="_xlnm._FilterDatabase" localSheetId="0" hidden="1">Template!$A$5:$AG$43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3" i="1" l="1"/>
  <c r="AE43" i="1" s="1"/>
  <c r="AC42" i="1"/>
  <c r="AE42" i="1" s="1"/>
  <c r="AC41" i="1"/>
  <c r="AE41" i="1" s="1"/>
  <c r="AC40" i="1"/>
  <c r="AE40" i="1" s="1"/>
  <c r="AC39" i="1"/>
  <c r="AE39" i="1" s="1"/>
  <c r="AC38" i="1"/>
  <c r="AE38" i="1" s="1"/>
  <c r="AC37" i="1"/>
  <c r="AE37" i="1" s="1"/>
  <c r="AC36" i="1"/>
  <c r="AE36" i="1" s="1"/>
  <c r="AC35" i="1"/>
  <c r="AE35" i="1" s="1"/>
  <c r="AC34" i="1"/>
  <c r="AE34" i="1" s="1"/>
  <c r="AC33" i="1"/>
  <c r="AE33" i="1" s="1"/>
  <c r="AC32" i="1"/>
  <c r="AE32" i="1" s="1"/>
  <c r="AC31" i="1"/>
  <c r="AE31" i="1" s="1"/>
  <c r="AC30" i="1"/>
  <c r="AE30" i="1" s="1"/>
  <c r="AC29" i="1"/>
  <c r="AE29" i="1" s="1"/>
  <c r="AC28" i="1"/>
  <c r="AE28" i="1" s="1"/>
  <c r="AC27" i="1"/>
  <c r="AE27" i="1" s="1"/>
  <c r="AC26" i="1"/>
  <c r="AE26" i="1" s="1"/>
  <c r="AC25" i="1"/>
  <c r="AE25" i="1" s="1"/>
  <c r="AC24" i="1"/>
  <c r="AE24" i="1" s="1"/>
  <c r="AC23" i="1"/>
  <c r="AE23" i="1" s="1"/>
  <c r="AC22" i="1"/>
  <c r="AE22" i="1" s="1"/>
  <c r="AC21" i="1"/>
  <c r="AE21" i="1" s="1"/>
  <c r="AC20" i="1"/>
  <c r="AE20" i="1" s="1"/>
  <c r="AC19" i="1"/>
  <c r="AE19" i="1" s="1"/>
  <c r="AC18" i="1"/>
  <c r="AE18" i="1" s="1"/>
  <c r="AC17" i="1"/>
  <c r="AE17" i="1" s="1"/>
  <c r="AC16" i="1"/>
  <c r="AE16" i="1" s="1"/>
  <c r="AC15" i="1"/>
  <c r="AE15" i="1" s="1"/>
  <c r="AC14" i="1"/>
  <c r="AE14" i="1" s="1"/>
  <c r="AC13" i="1"/>
  <c r="AE13" i="1" s="1"/>
  <c r="AC12" i="1"/>
  <c r="AE12" i="1" s="1"/>
  <c r="AC11" i="1"/>
  <c r="AE11" i="1" s="1"/>
  <c r="AC10" i="1"/>
  <c r="AE10" i="1" s="1"/>
  <c r="AC9" i="1"/>
  <c r="AE9" i="1" s="1"/>
  <c r="AC8" i="1"/>
  <c r="AE8" i="1" s="1"/>
  <c r="AC7" i="1"/>
  <c r="AE7" i="1" s="1"/>
  <c r="AC6" i="1"/>
  <c r="AE6" i="1" s="1"/>
</calcChain>
</file>

<file path=xl/sharedStrings.xml><?xml version="1.0" encoding="utf-8"?>
<sst xmlns="http://schemas.openxmlformats.org/spreadsheetml/2006/main" count="3338" uniqueCount="923">
  <si>
    <t>FIELD DAY — INVENTORY PICKUP | Plant &amp; Equipment (Contents) Inspection Template. Select a building from the portfolio, then navigate the location hierarchy: Parent Asset → Address → Level → Sub Location → Asset Category (L1 to L4). Complete all fields in the item form before moving to the next entry. Autofill is active on all non-measurement, non-condition fields. Photos: Photo 1 (primary) and Photo 2 (secondary detail) are available per item. GPS coordinates and map view (Google hybrid) are captured at the Parent Asset (building) level only.</t>
  </si>
  <si>
    <t>AUTOFILL RULE: All non-measurement and non-condition fields offer autofill suggestions drawn from existing entries within the same building. Valuation fields (Unit Rate, ERC, Indemnity Value, RUL) are system-generated or manually overridden on site.</t>
  </si>
  <si>
    <t>System generated. Auto-increments from 100001 across entire portfolio.</t>
  </si>
  <si>
    <t>Imported from client records or input on inspection.</t>
  </si>
  <si>
    <t>Building / facility name. Imported or input on inspection. Autofill enabled.</t>
  </si>
  <si>
    <t>Imported from client list. Autofill enabled.</t>
  </si>
  <si>
    <t>e.g. Ground Floor, Level 1, Basement, External. Autofill enabled.</t>
  </si>
  <si>
    <t>Room or area name, e.g. Board Room, Reception, Open Plan. Autofill enabled.</t>
  </si>
  <si>
    <t>Selection: Furniture / Information Technology / Audio Visual / Appliances &amp; White Goods / Office Equipment / Fitness &amp; Recreation / Medical &amp; First Aid / Vehicles &amp; Motorised Plant / Other</t>
  </si>
  <si>
    <t>Sub-category. Selection driven by L1 choice.</t>
  </si>
  <si>
    <t>Item type. Selection driven by L2 choice.</t>
  </si>
  <si>
    <t>Variant or specification. Selection or '--' if not applicable.</t>
  </si>
  <si>
    <t>Free-text description of the specific item.</t>
  </si>
  <si>
    <t>Selection only: 0=Not Present, 1=As New, 2=Good, 3=Fair, 4=Poor, 5=Very Poor. Blank not accepted.</t>
  </si>
  <si>
    <t>Auto-derived from Condition Rating value.</t>
  </si>
  <si>
    <t>Camera capture — primary item photo.</t>
  </si>
  <si>
    <t>Camera capture — secondary / detail photo.</t>
  </si>
  <si>
    <t>Count of identical items in this entry. Numerical only.</t>
  </si>
  <si>
    <t>Selection: ea / set / pair / lot.</t>
  </si>
  <si>
    <t>External width in millimetres. Required for furniture.</t>
  </si>
  <si>
    <t>External depth in millimetres. Required for furniture.</t>
  </si>
  <si>
    <t>External height in millimetres.</t>
  </si>
  <si>
    <t>Diagonal screen size in inches. Applies to TVs, monitors, projectors.</t>
  </si>
  <si>
    <t>Manufacturer or brand name. Autofill enabled.</t>
  </si>
  <si>
    <t>Model name or number.</t>
  </si>
  <si>
    <t>Manufacturer serial number. Critical for insurance schedules.</t>
  </si>
  <si>
    <t>Client's own asset tag or label number.</t>
  </si>
  <si>
    <t>e.g. Black, White, Timber Veneer, Chrome, Grey Fabric. Autofill enabled.</t>
  </si>
  <si>
    <t>Free-text observations or recommendations.</t>
  </si>
  <si>
    <t>Replacement Cost New per unit. From cost library or manual override on site.</t>
  </si>
  <si>
    <t>Formula: Unit Rate × Quantity.</t>
  </si>
  <si>
    <t>Derived from Condition Rating: 1=100%, 2=75%, 3=50%, 4=25%, 5=0%, 0=N/A.</t>
  </si>
  <si>
    <t>Formula: Estimated Replacement Cost × Remaining Useful Life. For financial reporting.</t>
  </si>
  <si>
    <t>Selection: Contents / Plant &amp; Equipment / Motor Vehicle / Other.</t>
  </si>
  <si>
    <t>Total expected useful life for the item type.</t>
  </si>
  <si>
    <t>Unique ID</t>
  </si>
  <si>
    <t>Asset ID (Client)</t>
  </si>
  <si>
    <t>Parent Asset</t>
  </si>
  <si>
    <t>Address</t>
  </si>
  <si>
    <t>Level</t>
  </si>
  <si>
    <t>Sub Location</t>
  </si>
  <si>
    <t>Asset Category (L1)</t>
  </si>
  <si>
    <t>Asset Category (L2)</t>
  </si>
  <si>
    <t>Asset Category (L3)</t>
  </si>
  <si>
    <t>Asset Category (L4)</t>
  </si>
  <si>
    <t>Item Description</t>
  </si>
  <si>
    <t>Condition Rating (0-5)</t>
  </si>
  <si>
    <t>Condition Rating Label</t>
  </si>
  <si>
    <t>Photo 1</t>
  </si>
  <si>
    <t>Photo 2</t>
  </si>
  <si>
    <t>Quantity</t>
  </si>
  <si>
    <t>Unit of Measurement</t>
  </si>
  <si>
    <t>Width (mm)</t>
  </si>
  <si>
    <t>Depth (mm)</t>
  </si>
  <si>
    <t>Height (mm)</t>
  </si>
  <si>
    <t>Screen Size (inches)</t>
  </si>
  <si>
    <t>Make / Brand</t>
  </si>
  <si>
    <t>Model</t>
  </si>
  <si>
    <t>Serial Number</t>
  </si>
  <si>
    <t>Asset Tag / Label</t>
  </si>
  <si>
    <t>Colour / Finish</t>
  </si>
  <si>
    <t>Comments / Recommendations</t>
  </si>
  <si>
    <t>Unit Rate - RCN ($)</t>
  </si>
  <si>
    <t>Estimated Replacement Cost ($)</t>
  </si>
  <si>
    <t>Remaining Useful Life (%)</t>
  </si>
  <si>
    <t>Indemnity Value ($)</t>
  </si>
  <si>
    <t>Insurance Schedule Category</t>
  </si>
  <si>
    <t>Effective Life (years)</t>
  </si>
  <si>
    <t>BO214</t>
  </si>
  <si>
    <t>Clubrooms</t>
  </si>
  <si>
    <t>50 Shephard Street</t>
  </si>
  <si>
    <t>Ground Floor</t>
  </si>
  <si>
    <t>Reception</t>
  </si>
  <si>
    <t>Furniture</t>
  </si>
  <si>
    <t>Seating</t>
  </si>
  <si>
    <t>Visitor Chair</t>
  </si>
  <si>
    <t>--</t>
  </si>
  <si>
    <t>4-leg stackable visitor chair</t>
  </si>
  <si>
    <t>Good</t>
  </si>
  <si>
    <t>ea</t>
  </si>
  <si>
    <t>Haworth</t>
  </si>
  <si>
    <t>Charcoal Fabric</t>
  </si>
  <si>
    <t>Contents</t>
  </si>
  <si>
    <t>Desks &amp; Workstations</t>
  </si>
  <si>
    <t>Reception Desk / Counter</t>
  </si>
  <si>
    <t>L-shape reception counter with modesty panel</t>
  </si>
  <si>
    <t>Custom Joinery</t>
  </si>
  <si>
    <t>White Laminate</t>
  </si>
  <si>
    <t>Audio Visual</t>
  </si>
  <si>
    <t>Display Systems</t>
  </si>
  <si>
    <t>Flat Screen TV</t>
  </si>
  <si>
    <t>Wall-mounted flat screen TV</t>
  </si>
  <si>
    <t>Samsung</t>
  </si>
  <si>
    <t>QN65Q80C</t>
  </si>
  <si>
    <t>SN-SAM-01</t>
  </si>
  <si>
    <t>Black</t>
  </si>
  <si>
    <t>Plant &amp; Equipment</t>
  </si>
  <si>
    <t>Lounge Chair / Sofa</t>
  </si>
  <si>
    <t>3-Seater</t>
  </si>
  <si>
    <t>3-seater lounge sofa</t>
  </si>
  <si>
    <t>Fair</t>
  </si>
  <si>
    <t>Grey Fabric</t>
  </si>
  <si>
    <t>Storage &amp; Filing</t>
  </si>
  <si>
    <t>Storage Cabinet</t>
  </si>
  <si>
    <t>2-door storage cabinet with adjustable shelves</t>
  </si>
  <si>
    <t>White</t>
  </si>
  <si>
    <t>Reception stationery storage</t>
  </si>
  <si>
    <t>Main Administration Office</t>
  </si>
  <si>
    <t>Straight Desk</t>
  </si>
  <si>
    <t>Straight office desk with cable management</t>
  </si>
  <si>
    <t>Timber Veneer</t>
  </si>
  <si>
    <t>Task Chair</t>
  </si>
  <si>
    <t>Ergonomic task chair with lumbar support and adjustable arms</t>
  </si>
  <si>
    <t>Buro</t>
  </si>
  <si>
    <t>Metro II</t>
  </si>
  <si>
    <t>Black Mesh</t>
  </si>
  <si>
    <t>Filing Cabinet (Lateral)</t>
  </si>
  <si>
    <t>4-Drawer</t>
  </si>
  <si>
    <t>4-drawer lateral filing cabinet with lock</t>
  </si>
  <si>
    <t>Brownbuilt</t>
  </si>
  <si>
    <t>Beige</t>
  </si>
  <si>
    <t>Filing Cabinet (Pedestal)</t>
  </si>
  <si>
    <t>3-Drawer</t>
  </si>
  <si>
    <t>Mobile 3-drawer pedestal with castors and lock</t>
  </si>
  <si>
    <t>Information Technology</t>
  </si>
  <si>
    <t>Computing</t>
  </si>
  <si>
    <t>Desktop Computer (Tower)</t>
  </si>
  <si>
    <t>Desktop PC tower</t>
  </si>
  <si>
    <t>Dell</t>
  </si>
  <si>
    <t>OptiPlex 7010</t>
  </si>
  <si>
    <t>Display &amp; Peripherals</t>
  </si>
  <si>
    <t>Monitor / Screen</t>
  </si>
  <si>
    <t>27-inch IPS LED monitor</t>
  </si>
  <si>
    <t>P2722H</t>
  </si>
  <si>
    <t>Printer (Multifunction)</t>
  </si>
  <si>
    <t>A3 colour multifunction printer/copier/scanner</t>
  </si>
  <si>
    <t>Canon</t>
  </si>
  <si>
    <t>iR-ADV C3530i</t>
  </si>
  <si>
    <t>SN-CAN-01</t>
  </si>
  <si>
    <t>White/Grey</t>
  </si>
  <si>
    <t>Visitor chair with padded seat</t>
  </si>
  <si>
    <t>Board Room</t>
  </si>
  <si>
    <t>Tables</t>
  </si>
  <si>
    <t>Boardroom Table</t>
  </si>
  <si>
    <t>12-person boardroom table, boat-shaped</t>
  </si>
  <si>
    <t>Dark Timber Veneer</t>
  </si>
  <si>
    <t>Meeting Chair</t>
  </si>
  <si>
    <t>High-back meeting chair with chrome base</t>
  </si>
  <si>
    <t>Fern</t>
  </si>
  <si>
    <t>Wall-mounted 75-inch UHD display panel</t>
  </si>
  <si>
    <t>LG</t>
  </si>
  <si>
    <t>75QNED90</t>
  </si>
  <si>
    <t>SN-LG-01</t>
  </si>
  <si>
    <t>Video Conferencing</t>
  </si>
  <si>
    <t>Video Bar (All-in-One)</t>
  </si>
  <si>
    <t>Integrated video conferencing bar with camera, mic and speaker</t>
  </si>
  <si>
    <t>Poly</t>
  </si>
  <si>
    <t>Studio E70</t>
  </si>
  <si>
    <t>SN-POLY-01</t>
  </si>
  <si>
    <t>Credenza / Buffet</t>
  </si>
  <si>
    <t>2-door credenza with timber veneer finish</t>
  </si>
  <si>
    <t>Kitchen</t>
  </si>
  <si>
    <t>Appliances &amp; White Goods</t>
  </si>
  <si>
    <t>Kitchen Appliances</t>
  </si>
  <si>
    <t>Refrigerator / Fridge</t>
  </si>
  <si>
    <t>French door refrigerator with water dispenser</t>
  </si>
  <si>
    <t>Fisher &amp; Paykel</t>
  </si>
  <si>
    <t>RF540ADUB5</t>
  </si>
  <si>
    <t>SN-FP-01</t>
  </si>
  <si>
    <t>Stainless Steel</t>
  </si>
  <si>
    <t>Dishwasher</t>
  </si>
  <si>
    <t>Under-bench dishwasher, freestanding</t>
  </si>
  <si>
    <t>Bosch</t>
  </si>
  <si>
    <t>SMS68TI01A</t>
  </si>
  <si>
    <t>SN-BSH-01</t>
  </si>
  <si>
    <t>Microwave Oven</t>
  </si>
  <si>
    <t>Countertop microwave oven</t>
  </si>
  <si>
    <t>Panasonic</t>
  </si>
  <si>
    <t>NN-ST664W</t>
  </si>
  <si>
    <t>Coffee Machine (Auto)</t>
  </si>
  <si>
    <t>Fully automatic bean-to-cup coffee machine</t>
  </si>
  <si>
    <t>Jura</t>
  </si>
  <si>
    <t>E8</t>
  </si>
  <si>
    <t>SN-JURA-01</t>
  </si>
  <si>
    <t>Silver/Black</t>
  </si>
  <si>
    <t>Includes integrated milk frother</t>
  </si>
  <si>
    <t>Water Cooler / Dispenser</t>
  </si>
  <si>
    <t>Plumbed-in instant hot/cold/sparkling water tap</t>
  </si>
  <si>
    <t>Zip</t>
  </si>
  <si>
    <t>HydroTap G5</t>
  </si>
  <si>
    <t>SN-ZIP-01</t>
  </si>
  <si>
    <t>Chrome/Black</t>
  </si>
  <si>
    <t>Dining Table</t>
  </si>
  <si>
    <t>Rectangular dining/breakout table</t>
  </si>
  <si>
    <t>Bar Stool</t>
  </si>
  <si>
    <t>Counter-height bar stool with footrest</t>
  </si>
  <si>
    <t>Open Plan</t>
  </si>
  <si>
    <t>Height-Adjustable Desk</t>
  </si>
  <si>
    <t>Electric</t>
  </si>
  <si>
    <t>Electric sit-stand desk with digital height memory</t>
  </si>
  <si>
    <t>Ergotron</t>
  </si>
  <si>
    <t>WorkFit-D</t>
  </si>
  <si>
    <t>Height range 650-1280mm</t>
  </si>
  <si>
    <t>High-performance ergonomic task chair</t>
  </si>
  <si>
    <t>Herman Miller</t>
  </si>
  <si>
    <t>Aeron</t>
  </si>
  <si>
    <t>27-inch USB-C IPS monitor</t>
  </si>
  <si>
    <t>U2722D</t>
  </si>
  <si>
    <t>Screens &amp; Partitions</t>
  </si>
  <si>
    <t>Acoustic Screen</t>
  </si>
  <si>
    <t>Freestanding acoustic desk divider screen</t>
  </si>
  <si>
    <t>4-leg visitor chair with upholstered seat</t>
  </si>
  <si>
    <t>Laptop / Notebook</t>
  </si>
  <si>
    <t>Business laptop with docking station</t>
  </si>
  <si>
    <t>Latitude 5540</t>
  </si>
  <si>
    <t>Store Room</t>
  </si>
  <si>
    <t>Bookcase / Shelf Unit</t>
  </si>
  <si>
    <t>5-shelf steel shelf unit, heavy duty</t>
  </si>
  <si>
    <t>Locker</t>
  </si>
  <si>
    <t>Quad</t>
  </si>
  <si>
    <t>4-door staff locker with padlock provision</t>
  </si>
  <si>
    <t>Poor</t>
  </si>
  <si>
    <t>Grey</t>
  </si>
  <si>
    <t>Doors showing rust and impact damage</t>
  </si>
  <si>
    <t>Lobby</t>
  </si>
  <si>
    <t>2-Seater</t>
  </si>
  <si>
    <t>2-seater lounge sofa</t>
  </si>
  <si>
    <t>Navy Fabric</t>
  </si>
  <si>
    <t>1-Seater</t>
  </si>
  <si>
    <t>Single-seat armchair</t>
  </si>
  <si>
    <t>Digital Signage Screen</t>
  </si>
  <si>
    <t>Commercial-grade digital signage display, landscape orientation</t>
  </si>
  <si>
    <t>QH55B</t>
  </si>
  <si>
    <t>SN-SAM-02</t>
  </si>
  <si>
    <t>Soft Furnishings</t>
  </si>
  <si>
    <t>Artwork / Print</t>
  </si>
  <si>
    <t>Framed architectural print, professionally mounted</t>
  </si>
  <si>
    <t>Black Frame</t>
  </si>
  <si>
    <t>Office Equipment</t>
  </si>
  <si>
    <t>Mail &amp; Document</t>
  </si>
  <si>
    <t>Shredder</t>
  </si>
  <si>
    <t>Cross-cut paper shredder, P-4 security level</t>
  </si>
  <si>
    <t>Fellowes</t>
  </si>
  <si>
    <t>Powershred 79Ci</t>
  </si>
  <si>
    <t>SN-FEL-01</t>
  </si>
  <si>
    <t>Black/Silver</t>
  </si>
  <si>
    <t>Ergonomic task chair, adjustable lumbar and armrests</t>
  </si>
  <si>
    <t>Mid-back mesh task chair, fixed arms</t>
  </si>
  <si>
    <t>High-back leather executive chair</t>
  </si>
  <si>
    <t>Black Leather</t>
  </si>
  <si>
    <t>Budget task chair, fabric seat and back</t>
  </si>
  <si>
    <t>4-leg stackable visitor chair, upholstered seat</t>
  </si>
  <si>
    <t>Sled-base visitor chair, padded seat and back</t>
  </si>
  <si>
    <t>Black Fabric</t>
  </si>
  <si>
    <t>Polypropylene shell visitor chair, 4-leg</t>
  </si>
  <si>
    <t>High-back meeting chair, chrome sled base</t>
  </si>
  <si>
    <t>Mid-back meeting chair, upholstered, castors</t>
  </si>
  <si>
    <t>Single-seat armchair, upholstered</t>
  </si>
  <si>
    <t>2-seater lounge sofa, upholstered</t>
  </si>
  <si>
    <t>3-seater lounge sofa, upholstered</t>
  </si>
  <si>
    <t>Bar stool, timber seat and metal legs</t>
  </si>
  <si>
    <t>Timber/Black</t>
  </si>
  <si>
    <t>Training Chair</t>
  </si>
  <si>
    <t>Stackable training/seminar chair, upholstered</t>
  </si>
  <si>
    <t>Blue Fabric</t>
  </si>
  <si>
    <t>Stacking Chair</t>
  </si>
  <si>
    <t>Polypropylene stacking chair, 4-leg</t>
  </si>
  <si>
    <t>Drafting Chair</t>
  </si>
  <si>
    <t>Draughtsman/drafting stool, footring, adjustable</t>
  </si>
  <si>
    <t>Kneeling Chair</t>
  </si>
  <si>
    <t>Ergonomic kneeling chair, fabric cushion</t>
  </si>
  <si>
    <t>Bench Seat</t>
  </si>
  <si>
    <t>Upholstered waiting area bench seat, 3-person</t>
  </si>
  <si>
    <t>Straight desk, melamine top, steel legs</t>
  </si>
  <si>
    <t>Compact straight desk</t>
  </si>
  <si>
    <t>Corner Desk</t>
  </si>
  <si>
    <t>L-shape corner workstation</t>
  </si>
  <si>
    <t>Electric sit-stand desk with height memory</t>
  </si>
  <si>
    <t>Height range 650â€“1280mm</t>
  </si>
  <si>
    <t>Manual</t>
  </si>
  <si>
    <t>Manual crank sit-stand desk</t>
  </si>
  <si>
    <t>Straight reception counter, curved front</t>
  </si>
  <si>
    <t>Bench Workstation</t>
  </si>
  <si>
    <t>Open-plan shared bench workstation, 6-person</t>
  </si>
  <si>
    <t>Credenza / Desk Return</t>
  </si>
  <si>
    <t>Desk return/credenza unit with storage pedestal</t>
  </si>
  <si>
    <t>8-person rectangular boardroom table</t>
  </si>
  <si>
    <t>Meeting Table</t>
  </si>
  <si>
    <t>6-person oval meeting table</t>
  </si>
  <si>
    <t>4-person rectangular meeting table</t>
  </si>
  <si>
    <t>Rectangular breakout/dining table</t>
  </si>
  <si>
    <t>Coffee Table</t>
  </si>
  <si>
    <t>Rectangular coffee table, timber top</t>
  </si>
  <si>
    <t>Side Table</t>
  </si>
  <si>
    <t>Round side table, metal frame</t>
  </si>
  <si>
    <t>Training Table</t>
  </si>
  <si>
    <t>Folding training/seminar table</t>
  </si>
  <si>
    <t>Height-Adjustable Table</t>
  </si>
  <si>
    <t>Electric sit-stand meeting table</t>
  </si>
  <si>
    <t>CafÃ© / Bar Table</t>
  </si>
  <si>
    <t>Round poseur/bar table, metal base</t>
  </si>
  <si>
    <t>White/Black</t>
  </si>
  <si>
    <t>4-door storage cabinet, lockable</t>
  </si>
  <si>
    <t>3-shelf open bookcase, melamine</t>
  </si>
  <si>
    <t>2-Drawer</t>
  </si>
  <si>
    <t>2-drawer lateral filing cabinet with lock</t>
  </si>
  <si>
    <t>3-drawer lateral filing cabinet with lock</t>
  </si>
  <si>
    <t>Filing Cabinet (Vertical)</t>
  </si>
  <si>
    <t>4-drawer vertical filing cabinet, lockable</t>
  </si>
  <si>
    <t>Mobile 3-drawer pedestal, castors and lock</t>
  </si>
  <si>
    <t>Fixed 2-drawer desk pedestal</t>
  </si>
  <si>
    <t>3-door credenza with combination lock</t>
  </si>
  <si>
    <t>Single</t>
  </si>
  <si>
    <t>Single-door staff locker with padlock provision</t>
  </si>
  <si>
    <t>6-Door</t>
  </si>
  <si>
    <t>6-door staff locker bank</t>
  </si>
  <si>
    <t>Compactus / Mobile Shelving</t>
  </si>
  <si>
    <t>Manual mobile shelving system, 6 bays</t>
  </si>
  <si>
    <t>Plan Chest</t>
  </si>
  <si>
    <t>5-Drawer</t>
  </si>
  <si>
    <t>Flat file plan chest, A1 format, 5-drawer</t>
  </si>
  <si>
    <t>Tambour Unit</t>
  </si>
  <si>
    <t>Overhead tambour storage unit</t>
  </si>
  <si>
    <t>Freestanding acoustic desk divider, 1200 high</t>
  </si>
  <si>
    <t>Freestanding acoustic floor screen, 1800 high</t>
  </si>
  <si>
    <t>Whiteboard</t>
  </si>
  <si>
    <t>Freestanding double-sided whiteboard on castors</t>
  </si>
  <si>
    <t>Pinboard</t>
  </si>
  <si>
    <t>Framed fabric pinboard, wall-mounted</t>
  </si>
  <si>
    <t>Grey Fabric/Silver Frame</t>
  </si>
  <si>
    <t>Room Divider</t>
  </si>
  <si>
    <t>Folding 4-panel room divider, fabric</t>
  </si>
  <si>
    <t>Canvas artwork, abstract, framed</t>
  </si>
  <si>
    <t>Timber Frame</t>
  </si>
  <si>
    <t>Rug / Carpet Tile</t>
  </si>
  <si>
    <t>Commercial area rug, wool-blend</t>
  </si>
  <si>
    <t>Charcoal</t>
  </si>
  <si>
    <t>Planter / Indoor Plant</t>
  </si>
  <si>
    <t>Large indoor plant in commercial pot</t>
  </si>
  <si>
    <t>Green/White Pot</t>
  </si>
  <si>
    <t>Window Blind</t>
  </si>
  <si>
    <t>Roller blind, blockout, motorised</t>
  </si>
  <si>
    <t>Desktop PC tower, high-performance workstation</t>
  </si>
  <si>
    <t>HP</t>
  </si>
  <si>
    <t>Z4 G5</t>
  </si>
  <si>
    <t>Desktop Computer (AIO)</t>
  </si>
  <si>
    <t>All-in-one desktop computer, 27-inch</t>
  </si>
  <si>
    <t>Apple</t>
  </si>
  <si>
    <t>iMac</t>
  </si>
  <si>
    <t>Silver</t>
  </si>
  <si>
    <t>Business laptop</t>
  </si>
  <si>
    <t>Business ultrabook</t>
  </si>
  <si>
    <t>Lenovo</t>
  </si>
  <si>
    <t>ThinkPad X1 Carbon</t>
  </si>
  <si>
    <t>MacBook Pro 14-inch</t>
  </si>
  <si>
    <t>MacBook Pro 14</t>
  </si>
  <si>
    <t>Tablet</t>
  </si>
  <si>
    <t>iPad Pro 12.9-inch with keyboard</t>
  </si>
  <si>
    <t>iPad Pro</t>
  </si>
  <si>
    <t>Space Grey</t>
  </si>
  <si>
    <t>Includes Magic Keyboard</t>
  </si>
  <si>
    <t>Docking Station</t>
  </si>
  <si>
    <t>USB-C universal docking station, dual display</t>
  </si>
  <si>
    <t>WD19S</t>
  </si>
  <si>
    <t>Mini PC / NUC</t>
  </si>
  <si>
    <t>Intel NUC mini PC</t>
  </si>
  <si>
    <t>Intel</t>
  </si>
  <si>
    <t>NUC 12 Pro</t>
  </si>
  <si>
    <t>Server (Tower)</t>
  </si>
  <si>
    <t>Tower server</t>
  </si>
  <si>
    <t>PowerEdge T350</t>
  </si>
  <si>
    <t>34-inch ultrawide curved monitor</t>
  </si>
  <si>
    <t>34WN80C-B</t>
  </si>
  <si>
    <t>A4 mono multifunction printer</t>
  </si>
  <si>
    <t>LaserJet Pro MFP M428fdw</t>
  </si>
  <si>
    <t>Printer (Desktop)</t>
  </si>
  <si>
    <t>A4 colour inkjet printer</t>
  </si>
  <si>
    <t>Epson</t>
  </si>
  <si>
    <t>EcoTank ET-5800</t>
  </si>
  <si>
    <t>Scanner (Flatbed)</t>
  </si>
  <si>
    <t>A3 flatbed document scanner</t>
  </si>
  <si>
    <t>DS-780N</t>
  </si>
  <si>
    <t>Scanner (Sheet-fed)</t>
  </si>
  <si>
    <t>High-speed A4 sheet-fed document scanner</t>
  </si>
  <si>
    <t>Fujitsu</t>
  </si>
  <si>
    <t>fi-7300NX</t>
  </si>
  <si>
    <t>Keyboard</t>
  </si>
  <si>
    <t>Wireless ergonomic keyboard</t>
  </si>
  <si>
    <t>Logitech</t>
  </si>
  <si>
    <t>MX Keys</t>
  </si>
  <si>
    <t>Mouse</t>
  </si>
  <si>
    <t>Wireless ergonomic mouse</t>
  </si>
  <si>
    <t>MX Master 3</t>
  </si>
  <si>
    <t>Webcam</t>
  </si>
  <si>
    <t>4K USB webcam</t>
  </si>
  <si>
    <t>Brio 4K</t>
  </si>
  <si>
    <t>UPS (Battery Backup)</t>
  </si>
  <si>
    <t>Line-interactive UPS, 1500VA</t>
  </si>
  <si>
    <t>APC</t>
  </si>
  <si>
    <t>Smart-UPS 1500</t>
  </si>
  <si>
    <t>Networking &amp; Communications</t>
  </si>
  <si>
    <t>Network Switch</t>
  </si>
  <si>
    <t>24-port managed gigabit switch</t>
  </si>
  <si>
    <t>Cisco</t>
  </si>
  <si>
    <t>CBS350-24T-4G</t>
  </si>
  <si>
    <t>Wireless Access Point</t>
  </si>
  <si>
    <t>Wi-Fi 6 ceiling-mount access point</t>
  </si>
  <si>
    <t>Ubiquiti</t>
  </si>
  <si>
    <t>UniFi AP U6-LR</t>
  </si>
  <si>
    <t>Patch Panel</t>
  </si>
  <si>
    <t>24-port Cat6 patch panel</t>
  </si>
  <si>
    <t>VoIP Phone</t>
  </si>
  <si>
    <t>Desktop VoIP phone, colour display</t>
  </si>
  <si>
    <t>Yealink</t>
  </si>
  <si>
    <t>T54W</t>
  </si>
  <si>
    <t>Executive VoIP phone, touchscreen</t>
  </si>
  <si>
    <t>Polycom</t>
  </si>
  <si>
    <t>VVX 601</t>
  </si>
  <si>
    <t>PABX / IP PBX</t>
  </si>
  <si>
    <t>IP-PBX telephony system controller</t>
  </si>
  <si>
    <t>3CX</t>
  </si>
  <si>
    <t>Network Rack</t>
  </si>
  <si>
    <t>12U wall-mount network cabinet</t>
  </si>
  <si>
    <t>NAS (Network Storage)</t>
  </si>
  <si>
    <t>4-bay NAS, RAID5</t>
  </si>
  <si>
    <t>Synology</t>
  </si>
  <si>
    <t>DS923+</t>
  </si>
  <si>
    <t>Firewall / Router</t>
  </si>
  <si>
    <t>Enterprise firewall/router appliance</t>
  </si>
  <si>
    <t>Fortinet</t>
  </si>
  <si>
    <t>FortiGate 60F</t>
  </si>
  <si>
    <t>Wall-mounted 65-inch UHD TV</t>
  </si>
  <si>
    <t>Wall-mounted 85-inch commercial display</t>
  </si>
  <si>
    <t>QM85B</t>
  </si>
  <si>
    <t>Commercial-grade digital signage display, landscape</t>
  </si>
  <si>
    <t>Commercial-grade digital signage, portrait</t>
  </si>
  <si>
    <t>49VL5G</t>
  </si>
  <si>
    <t>Projector</t>
  </si>
  <si>
    <t>Short-throw laser projector, 5000 lumens</t>
  </si>
  <si>
    <t>EB-PU1007</t>
  </si>
  <si>
    <t>Projection Screen</t>
  </si>
  <si>
    <t>Motorised pull-down projection screen, 120-inch</t>
  </si>
  <si>
    <t>Elite Screens</t>
  </si>
  <si>
    <t>LED Video Wall</t>
  </si>
  <si>
    <t>3Ã—2 LED tile video wall, 1.5mm pixel pitch</t>
  </si>
  <si>
    <t>set</t>
  </si>
  <si>
    <t>Interactive Whiteboard</t>
  </si>
  <si>
    <t>86-inch 4K interactive flat panel display</t>
  </si>
  <si>
    <t>Clevertouch</t>
  </si>
  <si>
    <t>Pro V2</t>
  </si>
  <si>
    <t>Integrated video conferencing bar, camera/mic/speaker</t>
  </si>
  <si>
    <t>USB video conferencing bar, Teams/Zoom certified</t>
  </si>
  <si>
    <t>Rally Bar Mini</t>
  </si>
  <si>
    <t>Graphite</t>
  </si>
  <si>
    <t>PTZ Camera</t>
  </si>
  <si>
    <t>HD PTZ camera with remote control</t>
  </si>
  <si>
    <t>EagleEye IV</t>
  </si>
  <si>
    <t>Conferencing Speakerphone</t>
  </si>
  <si>
    <t>USB/Bluetooth conference speakerphone</t>
  </si>
  <si>
    <t>Sync 60</t>
  </si>
  <si>
    <t>Video Conferencing Codec</t>
  </si>
  <si>
    <t>Room-system video conferencing codec</t>
  </si>
  <si>
    <t>Room Bar</t>
  </si>
  <si>
    <t>Collaboration Touch Panel</t>
  </si>
  <si>
    <t>10-inch touch panel room controller</t>
  </si>
  <si>
    <t>Crestron</t>
  </si>
  <si>
    <t>TSW-1070</t>
  </si>
  <si>
    <t>Audio Systems</t>
  </si>
  <si>
    <t>Ceiling Speaker</t>
  </si>
  <si>
    <t>Ceiling-mount 6-inch speaker, 100V line</t>
  </si>
  <si>
    <t>Amplifier</t>
  </si>
  <si>
    <t>100V line amplifier, 240W, 4-zone</t>
  </si>
  <si>
    <t>Wireless Microphone System</t>
  </si>
  <si>
    <t>Handheld wireless mic system, dual channel</t>
  </si>
  <si>
    <t>Sennheiser</t>
  </si>
  <si>
    <t>EW 100 G4</t>
  </si>
  <si>
    <t>Lapel/lavalier wireless mic system</t>
  </si>
  <si>
    <t>XSW-D</t>
  </si>
  <si>
    <t>AV Receiver / Amplifier</t>
  </si>
  <si>
    <t>AV receiver, 7.2 channel</t>
  </si>
  <si>
    <t>Denon</t>
  </si>
  <si>
    <t>AVR-X2800H</t>
  </si>
  <si>
    <t>Soundbar</t>
  </si>
  <si>
    <t>Commercial soundbar, wall-mounted</t>
  </si>
  <si>
    <t>Bose</t>
  </si>
  <si>
    <t>Videobar VB1</t>
  </si>
  <si>
    <t>AV Control &amp; Distribution</t>
  </si>
  <si>
    <t>AV Matrix Switcher</t>
  </si>
  <si>
    <t>8Ã—8 HDMI matrix switcher with HDBaseT</t>
  </si>
  <si>
    <t>DM-MD8X8</t>
  </si>
  <si>
    <t>HDMI Splitter</t>
  </si>
  <si>
    <t>1Ã—4 HDMI 4K splitter</t>
  </si>
  <si>
    <t>AV Control System</t>
  </si>
  <si>
    <t>Programmable AV control processor</t>
  </si>
  <si>
    <t>CP4-R</t>
  </si>
  <si>
    <t>Streaming / Presentation PC</t>
  </si>
  <si>
    <t>Mini PC configured for AV streaming/presentation</t>
  </si>
  <si>
    <t>Bar fridge / under-bench refrigerator</t>
  </si>
  <si>
    <t>Upright commercial display fridge</t>
  </si>
  <si>
    <t>Commercial undercounter dishwasher</t>
  </si>
  <si>
    <t>Winterhalter</t>
  </si>
  <si>
    <t>UC-XL</t>
  </si>
  <si>
    <t>Commercial microwave, 1800W</t>
  </si>
  <si>
    <t>NE-1880</t>
  </si>
  <si>
    <t>Commercial super-auto coffee machine</t>
  </si>
  <si>
    <t>Franke</t>
  </si>
  <si>
    <t>A600</t>
  </si>
  <si>
    <t>Coffee Machine (Pod)</t>
  </si>
  <si>
    <t>Pod/capsule coffee machine</t>
  </si>
  <si>
    <t>Nespresso</t>
  </si>
  <si>
    <t>Vertuo Next</t>
  </si>
  <si>
    <t>Freestanding hot/cold water cooler</t>
  </si>
  <si>
    <t>HydroPlus BP</t>
  </si>
  <si>
    <t>Kettle</t>
  </si>
  <si>
    <t>Commercial-grade 1.7L electric kettle</t>
  </si>
  <si>
    <t>Toaster</t>
  </si>
  <si>
    <t>Commercial 4-slice toaster</t>
  </si>
  <si>
    <t>Laundry Appliances</t>
  </si>
  <si>
    <t>Washing Machine</t>
  </si>
  <si>
    <t>Front-load commercial washing machine</t>
  </si>
  <si>
    <t>Electrolux</t>
  </si>
  <si>
    <t>EWF1042Q7WB</t>
  </si>
  <si>
    <t>Dryer</t>
  </si>
  <si>
    <t>Commercial heat-pump dryer</t>
  </si>
  <si>
    <t>EDH3887GWE</t>
  </si>
  <si>
    <t>Ironing Board</t>
  </si>
  <si>
    <t>Commercial ironing board with steam iron</t>
  </si>
  <si>
    <t>Silver/Grey</t>
  </si>
  <si>
    <t>Micro-cut high-security shredder, P-6</t>
  </si>
  <si>
    <t>Powershred 99Ci</t>
  </si>
  <si>
    <t>Laminator</t>
  </si>
  <si>
    <t>A3 thermal laminator, hot/cold</t>
  </si>
  <si>
    <t>Folding Machine</t>
  </si>
  <si>
    <t>Automatic letter/document folder</t>
  </si>
  <si>
    <t>Franking Machine</t>
  </si>
  <si>
    <t>Digital postage meter/franking machine</t>
  </si>
  <si>
    <t>Pitney Bowes</t>
  </si>
  <si>
    <t>SendPro C</t>
  </si>
  <si>
    <t>Label Printer</t>
  </si>
  <si>
    <t>Desktop thermal label printer</t>
  </si>
  <si>
    <t>Zebra</t>
  </si>
  <si>
    <t>ZD421</t>
  </si>
  <si>
    <t>Presentation</t>
  </si>
  <si>
    <t>Lectern / Podium</t>
  </si>
  <si>
    <t>Timber lectern with reading lamp and mic</t>
  </si>
  <si>
    <t>Projection Trolley</t>
  </si>
  <si>
    <t>AV/projector trolley with lockable cabinet</t>
  </si>
  <si>
    <t>Flip Chart Easel</t>
  </si>
  <si>
    <t>Height-adjustable flip chart easel</t>
  </si>
  <si>
    <t>Security</t>
  </si>
  <si>
    <t>EFTPOS / Payment Terminal</t>
  </si>
  <si>
    <t>Countertop EFTPOS payment terminal</t>
  </si>
  <si>
    <t>Verifone</t>
  </si>
  <si>
    <t>V240m</t>
  </si>
  <si>
    <t>ID Card Printer</t>
  </si>
  <si>
    <t>Single-sided PVC card printer</t>
  </si>
  <si>
    <t>ZC300</t>
  </si>
  <si>
    <t>Safes &amp; Storage</t>
  </si>
  <si>
    <t>Safes</t>
  </si>
  <si>
    <t>Cash / Petty Cash Safe</t>
  </si>
  <si>
    <t>Petty cash safe, digital keypad, 20L</t>
  </si>
  <si>
    <t>Chubbsafes</t>
  </si>
  <si>
    <t>Trident 2</t>
  </si>
  <si>
    <t>Rating: B class</t>
  </si>
  <si>
    <t>Under-counter cash safe, digital lock, 15L</t>
  </si>
  <si>
    <t>SentrySafe</t>
  </si>
  <si>
    <t>SFW123GDC</t>
  </si>
  <si>
    <t>Floor Safe</t>
  </si>
  <si>
    <t>Floor-mount cash/document safe, digital, 50L</t>
  </si>
  <si>
    <t>Sovereign G3</t>
  </si>
  <si>
    <t>Rating: C class. Concealed under carpet.</t>
  </si>
  <si>
    <t>Wall Safe</t>
  </si>
  <si>
    <t>Recessed wall safe, key/combination, 20L</t>
  </si>
  <si>
    <t>Concealed behind artwork</t>
  </si>
  <si>
    <t>Fire Safe</t>
  </si>
  <si>
    <t>Fireproof document safe, electronic lock, 30L</t>
  </si>
  <si>
    <t>SFW205GQC</t>
  </si>
  <si>
    <t>UL Class 350 1-hour fire rating</t>
  </si>
  <si>
    <t>Fireproof media/data safe, 60L</t>
  </si>
  <si>
    <t>DataGuard DG50</t>
  </si>
  <si>
    <t>UL Class 125 1-hour rating</t>
  </si>
  <si>
    <t>Drug / Narcotic Safe</t>
  </si>
  <si>
    <t>Scheduled drug safe, double-lock, 40L</t>
  </si>
  <si>
    <t>Gardall</t>
  </si>
  <si>
    <t>SB4038</t>
  </si>
  <si>
    <t>Compliant with state drug storage regulations</t>
  </si>
  <si>
    <t>Key Cabinet Safe</t>
  </si>
  <si>
    <t>Electronic key cabinet, 50-hook</t>
  </si>
  <si>
    <t>Kidde</t>
  </si>
  <si>
    <t>AccessPoint 001799</t>
  </si>
  <si>
    <t>Electronic key cabinet, 200-hook, audited access</t>
  </si>
  <si>
    <t>Morse Watchmans</t>
  </si>
  <si>
    <t>KeyWatcher</t>
  </si>
  <si>
    <t>Network connected, audit log</t>
  </si>
  <si>
    <t>Deposit Safe</t>
  </si>
  <si>
    <t>Drop/deposit safe, front-load, digital</t>
  </si>
  <si>
    <t>Sigma 4K D</t>
  </si>
  <si>
    <t>Gun / Firearm Safe</t>
  </si>
  <si>
    <t>Long-arm firearm safe, 8-gun, dual lock</t>
  </si>
  <si>
    <t>Compliant with Firearms Regulations 2017 (Vic)</t>
  </si>
  <si>
    <t>Laptop / IT Security Safe</t>
  </si>
  <si>
    <t>Laptop charging and security safe, 6-unit</t>
  </si>
  <si>
    <t>Datamation</t>
  </si>
  <si>
    <t>DS-AL6</t>
  </si>
  <si>
    <t>Fitness &amp; Recreation</t>
  </si>
  <si>
    <t>Cardio Equipment</t>
  </si>
  <si>
    <t>Treadmill</t>
  </si>
  <si>
    <t>Commercial treadmill with touchscreen console</t>
  </si>
  <si>
    <t>Life Fitness</t>
  </si>
  <si>
    <t>T5</t>
  </si>
  <si>
    <t>Elliptical / Cross Trainer</t>
  </si>
  <si>
    <t>Commercial elliptical cross trainer</t>
  </si>
  <si>
    <t>E5</t>
  </si>
  <si>
    <t>Exercise Bike (Upright)</t>
  </si>
  <si>
    <t>Commercial upright exercise bike</t>
  </si>
  <si>
    <t>C5</t>
  </si>
  <si>
    <t>Exercise Bike (Recumbent)</t>
  </si>
  <si>
    <t>Commercial recumbent bike</t>
  </si>
  <si>
    <t>Rowing Machine</t>
  </si>
  <si>
    <t>Air/magnetic resistance rowing machine</t>
  </si>
  <si>
    <t>Concept2</t>
  </si>
  <si>
    <t>Model D</t>
  </si>
  <si>
    <t>Strength Equipment</t>
  </si>
  <si>
    <t>Cable Machine (Functional Trainer)</t>
  </si>
  <si>
    <t>Dual cable functional trainer, adjustable pulleys</t>
  </si>
  <si>
    <t>Weight Bench</t>
  </si>
  <si>
    <t>Commercial flat/incline/decline weight bench</t>
  </si>
  <si>
    <t>Dumbbell Rack</t>
  </si>
  <si>
    <t>3-tier dumbbell rack with rubber mat</t>
  </si>
  <si>
    <t>Includes 2â€“20kg dumbbells</t>
  </si>
  <si>
    <t>Squat Rack</t>
  </si>
  <si>
    <t>Power cage/squat rack with safety bars</t>
  </si>
  <si>
    <t>Recreation</t>
  </si>
  <si>
    <t>Pool Table</t>
  </si>
  <si>
    <t>7-foot pool/billiards table, slate bed</t>
  </si>
  <si>
    <t>Green Felt/Timber</t>
  </si>
  <si>
    <t>Includes cues and balls</t>
  </si>
  <si>
    <t>Table Tennis Table</t>
  </si>
  <si>
    <t>Full-size table tennis table, foldable</t>
  </si>
  <si>
    <t>Butterfly</t>
  </si>
  <si>
    <t>Centerfold 25</t>
  </si>
  <si>
    <t>Blue</t>
  </si>
  <si>
    <t>Includes net, paddles and balls</t>
  </si>
  <si>
    <t>Foosball Table</t>
  </si>
  <si>
    <t>Standard foosball/table football table</t>
  </si>
  <si>
    <t>Medical &amp; First Aid</t>
  </si>
  <si>
    <t>First Aid</t>
  </si>
  <si>
    <t>First Aid Kit</t>
  </si>
  <si>
    <t>Fully stocked workplace first aid kit, Type C</t>
  </si>
  <si>
    <t>St John</t>
  </si>
  <si>
    <t>Green</t>
  </si>
  <si>
    <t>Contents per WorkSafe requirements</t>
  </si>
  <si>
    <t>Vehicle first aid kit, soft bag</t>
  </si>
  <si>
    <t>AED (Defibrillator)</t>
  </si>
  <si>
    <t>Semi-automatic AED with wall cabinet</t>
  </si>
  <si>
    <t>Philips</t>
  </si>
  <si>
    <t>HeartStart FRx</t>
  </si>
  <si>
    <t>White/Green</t>
  </si>
  <si>
    <t>AED inspected monthly. Wall cabinet included.</t>
  </si>
  <si>
    <t>Fully automatic AED with alarmed cabinet</t>
  </si>
  <si>
    <t>ZOLL</t>
  </si>
  <si>
    <t>AED Plus</t>
  </si>
  <si>
    <t>Stretcher</t>
  </si>
  <si>
    <t>Folding ambulance-style stretcher</t>
  </si>
  <si>
    <t>Spencer</t>
  </si>
  <si>
    <t>Comfort Plus</t>
  </si>
  <si>
    <t>Eyewash Station</t>
  </si>
  <si>
    <t>Gravity-fed wall-mount eyewash station</t>
  </si>
  <si>
    <t>Honeywell</t>
  </si>
  <si>
    <t>FENDALL 2000</t>
  </si>
  <si>
    <t>Green/White</t>
  </si>
  <si>
    <t>Medical Equipment</t>
  </si>
  <si>
    <t>Blood Pressure Monitor</t>
  </si>
  <si>
    <t>Digital upper-arm blood pressure monitor</t>
  </si>
  <si>
    <t>Omron</t>
  </si>
  <si>
    <t>HBP-1300</t>
  </si>
  <si>
    <t>Pulse Oximeter</t>
  </si>
  <si>
    <t>Fingertip pulse oximeter</t>
  </si>
  <si>
    <t>Height/Weight Scale</t>
  </si>
  <si>
    <t>Digital column scale with height rod</t>
  </si>
  <si>
    <t>Seca</t>
  </si>
  <si>
    <t>Examination Table</t>
  </si>
  <si>
    <t>Clinical examination table, roll paper holder</t>
  </si>
  <si>
    <t>White Vinyl</t>
  </si>
  <si>
    <t>Medical Trolley</t>
  </si>
  <si>
    <t>Stainless steel medical trolley, 3-shelf</t>
  </si>
  <si>
    <t>Refrigerator (Medical)</t>
  </si>
  <si>
    <t>Medical-grade underbench refrigerator, 2â€“8Â°C</t>
  </si>
  <si>
    <t>Labcold</t>
  </si>
  <si>
    <t>RPFR0510</t>
  </si>
  <si>
    <t>Dedicated for medications/vaccines only</t>
  </si>
  <si>
    <t>Autoclave / Steriliser</t>
  </si>
  <si>
    <t>Bench-top steam autoclave, 23L</t>
  </si>
  <si>
    <t>Melag</t>
  </si>
  <si>
    <t>Vacuklav 43 B</t>
  </si>
  <si>
    <t>Dental Chair</t>
  </si>
  <si>
    <t>Hydraulic dental treatment chair with spittoon</t>
  </si>
  <si>
    <t>Vehicles &amp; Motorised Plant</t>
  </si>
  <si>
    <t>Motor Vehicles</t>
  </si>
  <si>
    <t>Passenger Car</t>
  </si>
  <si>
    <t>Light passenger vehicle, petrol</t>
  </si>
  <si>
    <t>Toyota</t>
  </si>
  <si>
    <t>Camry</t>
  </si>
  <si>
    <t>Refer to motor vehicle schedule</t>
  </si>
  <si>
    <t>Motor Vehicle</t>
  </si>
  <si>
    <t>Light passenger vehicle, hybrid</t>
  </si>
  <si>
    <t>Camry Hybrid</t>
  </si>
  <si>
    <t>SUV / 4WD</t>
  </si>
  <si>
    <t>Medium SUV, petrol</t>
  </si>
  <si>
    <t>RAV4</t>
  </si>
  <si>
    <t>Large 4WD, diesel</t>
  </si>
  <si>
    <t>LandCruiser 300</t>
  </si>
  <si>
    <t>Utility Vehicle (Ute)</t>
  </si>
  <si>
    <t>Single-cab utility, 4WD diesel</t>
  </si>
  <si>
    <t>HiLux SR5</t>
  </si>
  <si>
    <t>Dual-cab utility, 4WD diesel</t>
  </si>
  <si>
    <t>Ford</t>
  </si>
  <si>
    <t>Ranger XLT</t>
  </si>
  <si>
    <t>Van / People Mover</t>
  </si>
  <si>
    <t>Light commercial van, petrol</t>
  </si>
  <si>
    <t>HiAce Van</t>
  </si>
  <si>
    <t>Minibus</t>
  </si>
  <si>
    <t>12-seat minibus, diesel</t>
  </si>
  <si>
    <t>HiAce Commuter</t>
  </si>
  <si>
    <t>Electric Vehicle</t>
  </si>
  <si>
    <t>Battery-electric light passenger vehicle</t>
  </si>
  <si>
    <t>Tesla</t>
  </si>
  <si>
    <t>Model 3</t>
  </si>
  <si>
    <t>Motorised Plant</t>
  </si>
  <si>
    <t>Ride-on Mower</t>
  </si>
  <si>
    <t>Commercial ride-on lawn mower, zero-turn</t>
  </si>
  <si>
    <t>Husqvarna</t>
  </si>
  <si>
    <t>Z348X</t>
  </si>
  <si>
    <t>Orange</t>
  </si>
  <si>
    <t>Walk-behind Mower</t>
  </si>
  <si>
    <t>Commercial walk-behind petrol mower</t>
  </si>
  <si>
    <t>Honda</t>
  </si>
  <si>
    <t>HRX476</t>
  </si>
  <si>
    <t>Red</t>
  </si>
  <si>
    <t>Forklift</t>
  </si>
  <si>
    <t>Electric counterbalance forklift, 2.5t capacity</t>
  </si>
  <si>
    <t>8FBE25</t>
  </si>
  <si>
    <t>Yellow</t>
  </si>
  <si>
    <t>Requires forklift licence</t>
  </si>
  <si>
    <t>Pallet Jack (Electric)</t>
  </si>
  <si>
    <t>Electric walkie pallet jack, 2.0t</t>
  </si>
  <si>
    <t>Crown</t>
  </si>
  <si>
    <t>PE 4000</t>
  </si>
  <si>
    <t>Scissor Lift</t>
  </si>
  <si>
    <t>Electric scissor lift, 8m platform height</t>
  </si>
  <si>
    <t>Genie</t>
  </si>
  <si>
    <t>GS-2632</t>
  </si>
  <si>
    <t>Requires EWP licence</t>
  </si>
  <si>
    <t>Boom Lift (Cherry Picker)</t>
  </si>
  <si>
    <t>Knuckle boom lift, 16m working height</t>
  </si>
  <si>
    <t>Z-45/25J</t>
  </si>
  <si>
    <t>Golf Cart / EV Buggy</t>
  </si>
  <si>
    <t>4-seat electric golf cart</t>
  </si>
  <si>
    <t>Club Car</t>
  </si>
  <si>
    <t>Tempo</t>
  </si>
  <si>
    <t>Generator (Portable)</t>
  </si>
  <si>
    <t>Portable petrol generator, 6.5kVA</t>
  </si>
  <si>
    <t>EU65iS</t>
  </si>
  <si>
    <t>Generator (Standby)</t>
  </si>
  <si>
    <t>Standby diesel generator, 60kVA</t>
  </si>
  <si>
    <t>Cummins</t>
  </si>
  <si>
    <t>C60 D5</t>
  </si>
  <si>
    <t>ATS panel included</t>
  </si>
  <si>
    <t>High-Pressure Cleaner</t>
  </si>
  <si>
    <t>Electric high-pressure washer, 2000 PSI</t>
  </si>
  <si>
    <t>KÃ¤rcher</t>
  </si>
  <si>
    <t>HD 7/17 M</t>
  </si>
  <si>
    <t>Ride-on Sweeper</t>
  </si>
  <si>
    <t>Petrol ride-on sweeper, 850mm brush width</t>
  </si>
  <si>
    <t>Tennant</t>
  </si>
  <si>
    <t>S20</t>
  </si>
  <si>
    <t>Industrial</t>
  </si>
  <si>
    <t>Power Tools</t>
  </si>
  <si>
    <t>Angle Grinder</t>
  </si>
  <si>
    <t>115mm angle grinder, corded</t>
  </si>
  <si>
    <t>Makita</t>
  </si>
  <si>
    <t>GA4530R</t>
  </si>
  <si>
    <t>230mm angle grinder, corded</t>
  </si>
  <si>
    <t>GA9020</t>
  </si>
  <si>
    <t>Drill (Cordless)</t>
  </si>
  <si>
    <t>18V cordless combi drill, 2Ã—5.0Ah</t>
  </si>
  <si>
    <t>DHP484</t>
  </si>
  <si>
    <t>Impact Driver (Cordless)</t>
  </si>
  <si>
    <t>18V cordless impact driver, 2Ã—5.0Ah</t>
  </si>
  <si>
    <t>DTD172</t>
  </si>
  <si>
    <t>Circular Saw</t>
  </si>
  <si>
    <t>185mm circular saw, corded</t>
  </si>
  <si>
    <t>HS7601</t>
  </si>
  <si>
    <t>Jigsaw</t>
  </si>
  <si>
    <t>Top-handle jigsaw, corded</t>
  </si>
  <si>
    <t>PST 900 PEL</t>
  </si>
  <si>
    <t>Reciprocating Saw</t>
  </si>
  <si>
    <t>18V cordless reciprocating saw</t>
  </si>
  <si>
    <t>Milwaukee</t>
  </si>
  <si>
    <t>M18 FHSZ</t>
  </si>
  <si>
    <t>Rotary Hammer Drill</t>
  </si>
  <si>
    <t>SDS-Plus rotary hammer drill, 3-mode</t>
  </si>
  <si>
    <t>GBH 2-28</t>
  </si>
  <si>
    <t>Random Orbital Sander</t>
  </si>
  <si>
    <t>125mm random orbital sander, corded</t>
  </si>
  <si>
    <t>GEX 125-1 AE</t>
  </si>
  <si>
    <t>Bench Grinder</t>
  </si>
  <si>
    <t>150mm double-ended bench grinder</t>
  </si>
  <si>
    <t>Mounted on workshop bench</t>
  </si>
  <si>
    <t>Router</t>
  </si>
  <si>
    <t>Variable-speed fixed-base router</t>
  </si>
  <si>
    <t>RP2301FC</t>
  </si>
  <si>
    <t>Heat Gun</t>
  </si>
  <si>
    <t>Variable-temperature heat gun, 2000W</t>
  </si>
  <si>
    <t>GHG 23-66</t>
  </si>
  <si>
    <t>Measurement &amp; Detection</t>
  </si>
  <si>
    <t>Laser Level</t>
  </si>
  <si>
    <t>Self-levelling cross-line laser level</t>
  </si>
  <si>
    <t>GLL 3-80 CG</t>
  </si>
  <si>
    <t>Thermal Imaging Camera</t>
  </si>
  <si>
    <t>Handheld thermal imaging camera</t>
  </si>
  <si>
    <t>Flir</t>
  </si>
  <si>
    <t>E8 Pro</t>
  </si>
  <si>
    <t>Gas Detector</t>
  </si>
  <si>
    <t>4-gas confined space detector, CO/H2S/O2/LEL</t>
  </si>
  <si>
    <t>BW Technologies</t>
  </si>
  <si>
    <t>GasAlertMicro5</t>
  </si>
  <si>
    <t>Calibrated annually</t>
  </si>
  <si>
    <t>Noise Meter</t>
  </si>
  <si>
    <t>Class 2 sound level meter</t>
  </si>
  <si>
    <t>Multimeter</t>
  </si>
  <si>
    <t>True-RMS digital multimeter, CAT III</t>
  </si>
  <si>
    <t>Fluke</t>
  </si>
  <si>
    <t>Yellow/Grey</t>
  </si>
  <si>
    <t>Tachometer</t>
  </si>
  <si>
    <t>Non-contact optical tachometer</t>
  </si>
  <si>
    <t>Workshop Equipment</t>
  </si>
  <si>
    <t>Workbench</t>
  </si>
  <si>
    <t>Heavy-duty steel workbench with vice</t>
  </si>
  <si>
    <t>Tool Cabinet (Mobile)</t>
  </si>
  <si>
    <t>12-drawer mobile tool cabinet with castors</t>
  </si>
  <si>
    <t>Sidchrome</t>
  </si>
  <si>
    <t>Drill Press (Bench)</t>
  </si>
  <si>
    <t>5-speed bench drill press, 350W</t>
  </si>
  <si>
    <t>Band Saw</t>
  </si>
  <si>
    <t>Bench-top metal-cutting band saw</t>
  </si>
  <si>
    <t>Welding Machine (MIG)</t>
  </si>
  <si>
    <t>MIG welder, 180A, gas/gasless</t>
  </si>
  <si>
    <t>Miller</t>
  </si>
  <si>
    <t>Millermatic 211</t>
  </si>
  <si>
    <t>Welding Machine (TIG)</t>
  </si>
  <si>
    <t>TIG/MMA inverter welder, 200A</t>
  </si>
  <si>
    <t>Lincoln Electric</t>
  </si>
  <si>
    <t>Aspect 200</t>
  </si>
  <si>
    <t>Air Compressor</t>
  </si>
  <si>
    <t>Belt-drive air compressor, 50L tank, 2.5HP</t>
  </si>
  <si>
    <t>Screw compressor, 11kW, 270L receiver</t>
  </si>
  <si>
    <t>Atlas Copco</t>
  </si>
  <si>
    <t>GX7FF</t>
  </si>
  <si>
    <t>Industrial Vacuum</t>
  </si>
  <si>
    <t>Wet/dry industrial vacuum, 80L</t>
  </si>
  <si>
    <t>Nilfisk</t>
  </si>
  <si>
    <t>CFM-80</t>
  </si>
  <si>
    <t>Parts Washer</t>
  </si>
  <si>
    <t>Solvent parts washer, 75L, heated</t>
  </si>
  <si>
    <t>Hydraulic Press</t>
  </si>
  <si>
    <t>Shop press, 20-tonne H-frame</t>
  </si>
  <si>
    <t>Tyre Changer</t>
  </si>
  <si>
    <t>Semi-automatic tyre changer</t>
  </si>
  <si>
    <t>Snap-on</t>
  </si>
  <si>
    <t>EEWC500</t>
  </si>
  <si>
    <t>Wheel Balancer</t>
  </si>
  <si>
    <t>Computer wheel balancer</t>
  </si>
  <si>
    <t>WB260</t>
  </si>
  <si>
    <t>Materials Handling</t>
  </si>
  <si>
    <t>Pallet Jack (Manual)</t>
  </si>
  <si>
    <t>Hydraulic manual pallet jack, 2.5t</t>
  </si>
  <si>
    <t>LHPM 250</t>
  </si>
  <si>
    <t>Platform Trolley</t>
  </si>
  <si>
    <t>Steel platform trolley, 300kg capacity</t>
  </si>
  <si>
    <t>Sack Trolley</t>
  </si>
  <si>
    <t>Steel sack trolley, 200kg, rubber wheels</t>
  </si>
  <si>
    <t>Drum Trolley</t>
  </si>
  <si>
    <t>Drum trolley/tilter, galvanised, 250L</t>
  </si>
  <si>
    <t>Galvanised</t>
  </si>
  <si>
    <t>Step Ladder</t>
  </si>
  <si>
    <t>Fibreglass step ladder, 150kg, 6-step</t>
  </si>
  <si>
    <t>Bailey</t>
  </si>
  <si>
    <t>FS13996</t>
  </si>
  <si>
    <t>Comply with AS/NZS 1892</t>
  </si>
  <si>
    <t>Extension Ladder</t>
  </si>
  <si>
    <t>Fibreglass extension ladder, 150kg, 6m</t>
  </si>
  <si>
    <t>FE50219</t>
  </si>
  <si>
    <t>Stillage / Pallet Cage</t>
  </si>
  <si>
    <t>Steel mesh pallet cage, 1000L</t>
  </si>
  <si>
    <t>Safety Equipment</t>
  </si>
  <si>
    <t>Fire Extinguisher</t>
  </si>
  <si>
    <t>Dry powder extinguisher, 9kg, wall-bracket</t>
  </si>
  <si>
    <t>Chubb</t>
  </si>
  <si>
    <t>Inspected 6-monthly per AS 1851</t>
  </si>
  <si>
    <t>CO2 extinguisher, 5kg, wall-bracket</t>
  </si>
  <si>
    <t>Wet chemical extinguisher, 7L</t>
  </si>
  <si>
    <t>For kitchen/cooking oil fires</t>
  </si>
  <si>
    <t>Fire Hose Reel</t>
  </si>
  <si>
    <t>Swing-arm fire hose reel, 36m, wall-mount</t>
  </si>
  <si>
    <t>Safety Shower / Eyewash (Combined)</t>
  </si>
  <si>
    <t>Plumbed combined safety shower and eyewash</t>
  </si>
  <si>
    <t>Speakman</t>
  </si>
  <si>
    <t>SE-700</t>
  </si>
  <si>
    <t>Green/Yellow</t>
  </si>
  <si>
    <t>Tested weekly</t>
  </si>
  <si>
    <t>Spill Kit</t>
  </si>
  <si>
    <t>General purpose spill kit, 90L</t>
  </si>
  <si>
    <t>Contents per site emergency plan</t>
  </si>
  <si>
    <t>First Aid Kit (Industrial)</t>
  </si>
  <si>
    <t>Industrial first aid kit, 1â€“25 persons</t>
  </si>
  <si>
    <t>Safety Cabinet (Flammable)</t>
  </si>
  <si>
    <t>Flammable liquids storage cabinet, 250L, self-closing</t>
  </si>
  <si>
    <t>Pratt</t>
  </si>
  <si>
    <t>Comply with AS 1940</t>
  </si>
  <si>
    <t>Safety Cabinet (Corrosive)</t>
  </si>
  <si>
    <t>Corrosive substances storage cabinet, 100L</t>
  </si>
  <si>
    <t>Comply with AS/NZS 3833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</si>
</sst>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8" x14ac:knownFonts="1">
    <font>
      <sz val="11"/>
      <color theme="1"/>
      <name val="Aptos Narrow"/>
      <family val="2"/>
      <scheme val="minor"/>
    </font>
    <font>
      <sz val="10"/>
      <name val="Calibri"/>
      <family val="2"/>
    </font>
    <font>
      <sz val="11"/>
      <name val="Aptos Narrow"/>
      <family val="2"/>
    </font>
    <font>
      <b/>
      <sz val="11"/>
      <color rgb="FF1F4E79"/>
      <name val="Calibri"/>
      <family val="2"/>
    </font>
    <font>
      <i/>
      <sz val="9"/>
      <color rgb="FF595959"/>
      <name val="Calibri"/>
      <family val="2"/>
    </font>
    <font>
      <i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F2F7FC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1"/>
    <xf numFmtId="0" fontId="7" fillId="0" borderId="2"/>
  </cellStyleXfs>
  <cellXfs count="18">
    <xf numFmtId="0" fontId="0" fillId="0" borderId="0" xfId="0" applyBorder="1"/>
    <xf numFmtId="0" fontId="2" fillId="0" borderId="2" xfId="0" applyFont="1" applyBorder="1"/>
    <xf numFmtId="0" fontId="5" fillId="2" borderId="3" xfId="0" applyFont="1" applyFill="1" applyBorder="1" applyAlignment="1">
      <alignment vertical="top" wrapText="1"/>
    </xf>
    <xf numFmtId="0" fontId="6" fillId="3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vertical="center"/>
    </xf>
    <xf numFmtId="164" fontId="1" fillId="4" borderId="3" xfId="0" applyNumberFormat="1" applyFont="1" applyFill="1" applyBorder="1" applyAlignment="1">
      <alignment vertical="center"/>
    </xf>
    <xf numFmtId="9" fontId="1" fillId="4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vertical="center"/>
    </xf>
    <xf numFmtId="0" fontId="7" fillId="0" borderId="2" xfId="1"/>
    <xf numFmtId="0" fontId="4" fillId="0" borderId="2" xfId="0" applyFont="1" applyBorder="1" applyAlignment="1">
      <alignment vertical="top" wrapText="1"/>
    </xf>
    <xf numFmtId="0" fontId="0" fillId="0" borderId="1" xfId="0"/>
    <xf numFmtId="0" fontId="3" fillId="0" borderId="2" xfId="0" applyFont="1" applyBorder="1" applyAlignment="1">
      <alignment vertical="top" wrapText="1"/>
    </xf>
    <xf numFmtId="0" fontId="7" fillId="5" borderId="2" xfId="1" applyFill="1"/>
    <xf numFmtId="0" fontId="7" fillId="6" borderId="2" xfId="1" applyFill="1"/>
    <xf numFmtId="0" fontId="7" fillId="7" borderId="2" xfId="1" applyFill="1"/>
    <xf numFmtId="0" fontId="7" fillId="0" borderId="2" xfId="1" applyFill="1"/>
  </cellXfs>
  <cellStyles count="2">
    <cellStyle name="Normal" xfId="0" builtinId="0"/>
    <cellStyle name="Normal 2" xfId="1" xr:uid="{49B7B941-94BB-4037-BEB5-EDF2A1ECCC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"/>
  <sheetViews>
    <sheetView zoomScale="130" zoomScaleNormal="130" workbookViewId="0">
      <pane ySplit="5" topLeftCell="A6" activePane="bottomLeft" state="frozen"/>
      <selection pane="bottomLeft" activeCell="B6" sqref="B6"/>
    </sheetView>
  </sheetViews>
  <sheetFormatPr defaultRowHeight="15" x14ac:dyDescent="0.25"/>
  <cols>
    <col min="1" max="1" width="14" customWidth="1"/>
    <col min="2" max="2" width="16" bestFit="1" customWidth="1"/>
    <col min="3" max="3" width="18" bestFit="1" customWidth="1"/>
    <col min="4" max="4" width="22" bestFit="1" customWidth="1"/>
    <col min="5" max="5" width="16" bestFit="1" customWidth="1"/>
    <col min="6" max="6" width="22" customWidth="1"/>
    <col min="7" max="7" width="24" customWidth="1"/>
    <col min="8" max="8" width="24" bestFit="1" customWidth="1"/>
    <col min="9" max="9" width="24" customWidth="1"/>
    <col min="10" max="10" width="18" bestFit="1" customWidth="1"/>
    <col min="11" max="11" width="28" bestFit="1" customWidth="1"/>
    <col min="12" max="12" width="14" bestFit="1" customWidth="1"/>
    <col min="13" max="13" width="16" customWidth="1"/>
    <col min="14" max="15" width="20" customWidth="1"/>
    <col min="16" max="16" width="10" bestFit="1" customWidth="1"/>
    <col min="17" max="17" width="14" bestFit="1" customWidth="1"/>
    <col min="18" max="20" width="12" customWidth="1"/>
    <col min="21" max="21" width="14" customWidth="1"/>
    <col min="22" max="23" width="18" customWidth="1"/>
    <col min="24" max="24" width="20" customWidth="1"/>
    <col min="25" max="25" width="16" customWidth="1"/>
    <col min="26" max="26" width="18" customWidth="1"/>
    <col min="27" max="27" width="28" customWidth="1"/>
    <col min="28" max="28" width="18" customWidth="1"/>
    <col min="29" max="29" width="22" customWidth="1"/>
    <col min="30" max="31" width="18" customWidth="1"/>
    <col min="32" max="32" width="24" customWidth="1"/>
    <col min="33" max="34" width="16" customWidth="1"/>
  </cols>
  <sheetData>
    <row r="1" spans="1:34" ht="60" customHeight="1" x14ac:dyDescent="0.25">
      <c r="A1" s="13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"/>
    </row>
    <row r="2" spans="1:34" ht="36" customHeight="1" x14ac:dyDescent="0.25">
      <c r="A2" s="11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"/>
    </row>
    <row r="3" spans="1:34" ht="6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72" customHeight="1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  <c r="V4" s="2" t="s">
        <v>23</v>
      </c>
      <c r="W4" s="2" t="s">
        <v>24</v>
      </c>
      <c r="X4" s="2" t="s">
        <v>25</v>
      </c>
      <c r="Y4" s="2" t="s">
        <v>26</v>
      </c>
      <c r="Z4" s="2" t="s">
        <v>27</v>
      </c>
      <c r="AA4" s="2" t="s">
        <v>28</v>
      </c>
      <c r="AB4" s="2" t="s">
        <v>29</v>
      </c>
      <c r="AC4" s="2" t="s">
        <v>30</v>
      </c>
      <c r="AD4" s="2" t="s">
        <v>31</v>
      </c>
      <c r="AE4" s="2" t="s">
        <v>32</v>
      </c>
      <c r="AF4" s="2" t="s">
        <v>33</v>
      </c>
      <c r="AG4" s="2" t="s">
        <v>34</v>
      </c>
      <c r="AH4" s="1"/>
    </row>
    <row r="5" spans="1:34" ht="36" customHeight="1" x14ac:dyDescent="0.25">
      <c r="A5" s="3" t="s">
        <v>35</v>
      </c>
      <c r="B5" s="3" t="s">
        <v>36</v>
      </c>
      <c r="C5" s="3" t="s">
        <v>37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42</v>
      </c>
      <c r="I5" s="3" t="s">
        <v>43</v>
      </c>
      <c r="J5" s="3" t="s">
        <v>44</v>
      </c>
      <c r="K5" s="3" t="s">
        <v>45</v>
      </c>
      <c r="L5" s="3" t="s">
        <v>46</v>
      </c>
      <c r="M5" s="3" t="s">
        <v>47</v>
      </c>
      <c r="N5" s="3" t="s">
        <v>48</v>
      </c>
      <c r="O5" s="3" t="s">
        <v>49</v>
      </c>
      <c r="P5" s="3" t="s">
        <v>50</v>
      </c>
      <c r="Q5" s="3" t="s">
        <v>51</v>
      </c>
      <c r="R5" s="3" t="s">
        <v>52</v>
      </c>
      <c r="S5" s="3" t="s">
        <v>53</v>
      </c>
      <c r="T5" s="3" t="s">
        <v>54</v>
      </c>
      <c r="U5" s="3" t="s">
        <v>55</v>
      </c>
      <c r="V5" s="3" t="s">
        <v>56</v>
      </c>
      <c r="W5" s="3" t="s">
        <v>57</v>
      </c>
      <c r="X5" s="3" t="s">
        <v>58</v>
      </c>
      <c r="Y5" s="3" t="s">
        <v>59</v>
      </c>
      <c r="Z5" s="3" t="s">
        <v>60</v>
      </c>
      <c r="AA5" s="3" t="s">
        <v>61</v>
      </c>
      <c r="AB5" s="3" t="s">
        <v>62</v>
      </c>
      <c r="AC5" s="3" t="s">
        <v>63</v>
      </c>
      <c r="AD5" s="3" t="s">
        <v>64</v>
      </c>
      <c r="AE5" s="3" t="s">
        <v>65</v>
      </c>
      <c r="AF5" s="3" t="s">
        <v>66</v>
      </c>
      <c r="AG5" s="3" t="s">
        <v>67</v>
      </c>
      <c r="AH5" s="1"/>
    </row>
    <row r="6" spans="1:34" ht="18" customHeight="1" x14ac:dyDescent="0.25">
      <c r="A6" s="4">
        <v>100001</v>
      </c>
      <c r="B6" s="4" t="s">
        <v>68</v>
      </c>
      <c r="C6" s="4" t="s">
        <v>69</v>
      </c>
      <c r="D6" s="4" t="s">
        <v>70</v>
      </c>
      <c r="E6" s="4" t="s">
        <v>71</v>
      </c>
      <c r="F6" s="4" t="s">
        <v>72</v>
      </c>
      <c r="G6" s="4" t="s">
        <v>73</v>
      </c>
      <c r="H6" s="4" t="s">
        <v>74</v>
      </c>
      <c r="I6" s="4" t="s">
        <v>75</v>
      </c>
      <c r="J6" s="4" t="s">
        <v>76</v>
      </c>
      <c r="K6" s="4" t="s">
        <v>77</v>
      </c>
      <c r="L6" s="4">
        <v>2</v>
      </c>
      <c r="M6" s="4" t="s">
        <v>78</v>
      </c>
      <c r="N6" s="4"/>
      <c r="O6" s="4"/>
      <c r="P6" s="4">
        <v>4</v>
      </c>
      <c r="Q6" s="4" t="s">
        <v>79</v>
      </c>
      <c r="R6" s="4">
        <v>520</v>
      </c>
      <c r="S6" s="4">
        <v>560</v>
      </c>
      <c r="T6" s="4">
        <v>820</v>
      </c>
      <c r="U6" s="4"/>
      <c r="V6" s="4" t="s">
        <v>80</v>
      </c>
      <c r="W6" s="4"/>
      <c r="X6" s="4"/>
      <c r="Y6" s="4"/>
      <c r="Z6" s="4" t="s">
        <v>81</v>
      </c>
      <c r="AA6" s="4"/>
      <c r="AB6" s="5">
        <v>420</v>
      </c>
      <c r="AC6" s="5">
        <f t="shared" ref="AC6:AC43" si="0">AB6*P6</f>
        <v>1680</v>
      </c>
      <c r="AD6" s="6">
        <v>0.75</v>
      </c>
      <c r="AE6" s="5">
        <f t="shared" ref="AE6:AE43" si="1">AC6*AD6/100</f>
        <v>12.6</v>
      </c>
      <c r="AF6" s="4" t="s">
        <v>82</v>
      </c>
      <c r="AG6" s="4">
        <v>12</v>
      </c>
      <c r="AH6" s="1"/>
    </row>
    <row r="7" spans="1:34" ht="18" customHeight="1" x14ac:dyDescent="0.25">
      <c r="A7" s="7">
        <v>100002</v>
      </c>
      <c r="B7" s="7" t="s">
        <v>68</v>
      </c>
      <c r="C7" s="7" t="s">
        <v>69</v>
      </c>
      <c r="D7" s="7" t="s">
        <v>70</v>
      </c>
      <c r="E7" s="7" t="s">
        <v>71</v>
      </c>
      <c r="F7" s="7" t="s">
        <v>72</v>
      </c>
      <c r="G7" s="7" t="s">
        <v>73</v>
      </c>
      <c r="H7" s="7" t="s">
        <v>83</v>
      </c>
      <c r="I7" s="7" t="s">
        <v>84</v>
      </c>
      <c r="J7" s="7" t="s">
        <v>76</v>
      </c>
      <c r="K7" s="7" t="s">
        <v>85</v>
      </c>
      <c r="L7" s="7">
        <v>2</v>
      </c>
      <c r="M7" s="7" t="s">
        <v>78</v>
      </c>
      <c r="N7" s="7"/>
      <c r="O7" s="7"/>
      <c r="P7" s="7">
        <v>1</v>
      </c>
      <c r="Q7" s="7" t="s">
        <v>79</v>
      </c>
      <c r="R7" s="7">
        <v>2400</v>
      </c>
      <c r="S7" s="7">
        <v>800</v>
      </c>
      <c r="T7" s="7">
        <v>1100</v>
      </c>
      <c r="U7" s="7"/>
      <c r="V7" s="7" t="s">
        <v>86</v>
      </c>
      <c r="W7" s="7"/>
      <c r="X7" s="7"/>
      <c r="Y7" s="7"/>
      <c r="Z7" s="7" t="s">
        <v>87</v>
      </c>
      <c r="AA7" s="7"/>
      <c r="AB7" s="8">
        <v>5500</v>
      </c>
      <c r="AC7" s="8">
        <f t="shared" si="0"/>
        <v>5500</v>
      </c>
      <c r="AD7" s="9">
        <v>0.75</v>
      </c>
      <c r="AE7" s="8">
        <f t="shared" si="1"/>
        <v>41.25</v>
      </c>
      <c r="AF7" s="7" t="s">
        <v>82</v>
      </c>
      <c r="AG7" s="7">
        <v>15</v>
      </c>
      <c r="AH7" s="1"/>
    </row>
    <row r="8" spans="1:34" ht="18" customHeight="1" x14ac:dyDescent="0.25">
      <c r="A8" s="4">
        <v>100003</v>
      </c>
      <c r="B8" s="4" t="s">
        <v>68</v>
      </c>
      <c r="C8" s="4" t="s">
        <v>69</v>
      </c>
      <c r="D8" s="4" t="s">
        <v>70</v>
      </c>
      <c r="E8" s="4" t="s">
        <v>71</v>
      </c>
      <c r="F8" s="4" t="s">
        <v>72</v>
      </c>
      <c r="G8" s="4" t="s">
        <v>88</v>
      </c>
      <c r="H8" s="4" t="s">
        <v>89</v>
      </c>
      <c r="I8" s="4" t="s">
        <v>90</v>
      </c>
      <c r="J8" s="4" t="s">
        <v>76</v>
      </c>
      <c r="K8" s="4" t="s">
        <v>91</v>
      </c>
      <c r="L8" s="4">
        <v>2</v>
      </c>
      <c r="M8" s="4" t="s">
        <v>78</v>
      </c>
      <c r="N8" s="4"/>
      <c r="O8" s="4"/>
      <c r="P8" s="4">
        <v>1</v>
      </c>
      <c r="Q8" s="4" t="s">
        <v>79</v>
      </c>
      <c r="R8" s="4"/>
      <c r="S8" s="4"/>
      <c r="T8" s="4"/>
      <c r="U8" s="4">
        <v>65</v>
      </c>
      <c r="V8" s="4" t="s">
        <v>92</v>
      </c>
      <c r="W8" s="4" t="s">
        <v>93</v>
      </c>
      <c r="X8" s="4" t="s">
        <v>94</v>
      </c>
      <c r="Y8" s="4"/>
      <c r="Z8" s="4" t="s">
        <v>95</v>
      </c>
      <c r="AA8" s="4"/>
      <c r="AB8" s="5">
        <v>2400</v>
      </c>
      <c r="AC8" s="5">
        <f t="shared" si="0"/>
        <v>2400</v>
      </c>
      <c r="AD8" s="6">
        <v>0.75</v>
      </c>
      <c r="AE8" s="5">
        <f t="shared" si="1"/>
        <v>18</v>
      </c>
      <c r="AF8" s="4" t="s">
        <v>96</v>
      </c>
      <c r="AG8" s="4">
        <v>8</v>
      </c>
      <c r="AH8" s="1"/>
    </row>
    <row r="9" spans="1:34" ht="18" customHeight="1" x14ac:dyDescent="0.25">
      <c r="A9" s="7">
        <v>100004</v>
      </c>
      <c r="B9" s="7" t="s">
        <v>68</v>
      </c>
      <c r="C9" s="7" t="s">
        <v>69</v>
      </c>
      <c r="D9" s="7" t="s">
        <v>70</v>
      </c>
      <c r="E9" s="7" t="s">
        <v>71</v>
      </c>
      <c r="F9" s="7" t="s">
        <v>72</v>
      </c>
      <c r="G9" s="7" t="s">
        <v>73</v>
      </c>
      <c r="H9" s="7" t="s">
        <v>74</v>
      </c>
      <c r="I9" s="7" t="s">
        <v>97</v>
      </c>
      <c r="J9" s="7" t="s">
        <v>98</v>
      </c>
      <c r="K9" s="7" t="s">
        <v>99</v>
      </c>
      <c r="L9" s="7">
        <v>3</v>
      </c>
      <c r="M9" s="7" t="s">
        <v>100</v>
      </c>
      <c r="N9" s="7"/>
      <c r="O9" s="7"/>
      <c r="P9" s="7">
        <v>1</v>
      </c>
      <c r="Q9" s="7" t="s">
        <v>79</v>
      </c>
      <c r="R9" s="7">
        <v>2100</v>
      </c>
      <c r="S9" s="7">
        <v>900</v>
      </c>
      <c r="T9" s="7">
        <v>800</v>
      </c>
      <c r="U9" s="7"/>
      <c r="V9" s="7"/>
      <c r="W9" s="7"/>
      <c r="X9" s="7"/>
      <c r="Y9" s="7"/>
      <c r="Z9" s="7" t="s">
        <v>101</v>
      </c>
      <c r="AA9" s="7"/>
      <c r="AB9" s="8">
        <v>2400</v>
      </c>
      <c r="AC9" s="8">
        <f t="shared" si="0"/>
        <v>2400</v>
      </c>
      <c r="AD9" s="9">
        <v>0.5</v>
      </c>
      <c r="AE9" s="8">
        <f t="shared" si="1"/>
        <v>12</v>
      </c>
      <c r="AF9" s="7" t="s">
        <v>82</v>
      </c>
      <c r="AG9" s="7">
        <v>12</v>
      </c>
      <c r="AH9" s="1"/>
    </row>
    <row r="10" spans="1:34" ht="18" customHeight="1" x14ac:dyDescent="0.25">
      <c r="A10" s="4">
        <v>100005</v>
      </c>
      <c r="B10" s="4" t="s">
        <v>68</v>
      </c>
      <c r="C10" s="4" t="s">
        <v>69</v>
      </c>
      <c r="D10" s="4" t="s">
        <v>70</v>
      </c>
      <c r="E10" s="4" t="s">
        <v>71</v>
      </c>
      <c r="F10" s="4" t="s">
        <v>72</v>
      </c>
      <c r="G10" s="4" t="s">
        <v>73</v>
      </c>
      <c r="H10" s="4" t="s">
        <v>102</v>
      </c>
      <c r="I10" s="4" t="s">
        <v>103</v>
      </c>
      <c r="J10" s="4" t="s">
        <v>76</v>
      </c>
      <c r="K10" s="4" t="s">
        <v>104</v>
      </c>
      <c r="L10" s="4">
        <v>2</v>
      </c>
      <c r="M10" s="4" t="s">
        <v>78</v>
      </c>
      <c r="N10" s="4"/>
      <c r="O10" s="4"/>
      <c r="P10" s="4">
        <v>1</v>
      </c>
      <c r="Q10" s="4" t="s">
        <v>79</v>
      </c>
      <c r="R10" s="4">
        <v>900</v>
      </c>
      <c r="S10" s="4">
        <v>450</v>
      </c>
      <c r="T10" s="4">
        <v>1800</v>
      </c>
      <c r="U10" s="4"/>
      <c r="V10" s="4"/>
      <c r="W10" s="4"/>
      <c r="X10" s="4"/>
      <c r="Y10" s="4"/>
      <c r="Z10" s="4" t="s">
        <v>105</v>
      </c>
      <c r="AA10" s="4" t="s">
        <v>106</v>
      </c>
      <c r="AB10" s="5">
        <v>720</v>
      </c>
      <c r="AC10" s="5">
        <f t="shared" si="0"/>
        <v>720</v>
      </c>
      <c r="AD10" s="6">
        <v>0.75</v>
      </c>
      <c r="AE10" s="5">
        <f t="shared" si="1"/>
        <v>5.4</v>
      </c>
      <c r="AF10" s="4" t="s">
        <v>82</v>
      </c>
      <c r="AG10" s="4">
        <v>20</v>
      </c>
      <c r="AH10" s="1"/>
    </row>
    <row r="11" spans="1:34" ht="18" customHeight="1" x14ac:dyDescent="0.25">
      <c r="A11" s="7">
        <v>100006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107</v>
      </c>
      <c r="G11" s="7" t="s">
        <v>73</v>
      </c>
      <c r="H11" s="7" t="s">
        <v>83</v>
      </c>
      <c r="I11" s="7" t="s">
        <v>108</v>
      </c>
      <c r="J11" s="7" t="s">
        <v>76</v>
      </c>
      <c r="K11" s="7" t="s">
        <v>109</v>
      </c>
      <c r="L11" s="7">
        <v>2</v>
      </c>
      <c r="M11" s="7" t="s">
        <v>78</v>
      </c>
      <c r="N11" s="7"/>
      <c r="O11" s="7"/>
      <c r="P11" s="7">
        <v>3</v>
      </c>
      <c r="Q11" s="7" t="s">
        <v>79</v>
      </c>
      <c r="R11" s="7">
        <v>1800</v>
      </c>
      <c r="S11" s="7">
        <v>750</v>
      </c>
      <c r="T11" s="7">
        <v>720</v>
      </c>
      <c r="U11" s="7"/>
      <c r="V11" s="7"/>
      <c r="W11" s="7"/>
      <c r="X11" s="7"/>
      <c r="Y11" s="7"/>
      <c r="Z11" s="7" t="s">
        <v>110</v>
      </c>
      <c r="AA11" s="7"/>
      <c r="AB11" s="8">
        <v>1050</v>
      </c>
      <c r="AC11" s="8">
        <f t="shared" si="0"/>
        <v>3150</v>
      </c>
      <c r="AD11" s="9">
        <v>0.75</v>
      </c>
      <c r="AE11" s="8">
        <f t="shared" si="1"/>
        <v>23.625</v>
      </c>
      <c r="AF11" s="7" t="s">
        <v>82</v>
      </c>
      <c r="AG11" s="7">
        <v>15</v>
      </c>
      <c r="AH11" s="1"/>
    </row>
    <row r="12" spans="1:34" ht="18" customHeight="1" x14ac:dyDescent="0.25">
      <c r="A12" s="4">
        <v>100007</v>
      </c>
      <c r="B12" s="4" t="s">
        <v>68</v>
      </c>
      <c r="C12" s="4" t="s">
        <v>69</v>
      </c>
      <c r="D12" s="4" t="s">
        <v>70</v>
      </c>
      <c r="E12" s="4" t="s">
        <v>71</v>
      </c>
      <c r="F12" s="4" t="s">
        <v>107</v>
      </c>
      <c r="G12" s="4" t="s">
        <v>73</v>
      </c>
      <c r="H12" s="4" t="s">
        <v>74</v>
      </c>
      <c r="I12" s="4" t="s">
        <v>111</v>
      </c>
      <c r="J12" s="4" t="s">
        <v>76</v>
      </c>
      <c r="K12" s="4" t="s">
        <v>112</v>
      </c>
      <c r="L12" s="4">
        <v>2</v>
      </c>
      <c r="M12" s="4" t="s">
        <v>78</v>
      </c>
      <c r="N12" s="4"/>
      <c r="O12" s="4"/>
      <c r="P12" s="4">
        <v>3</v>
      </c>
      <c r="Q12" s="4" t="s">
        <v>79</v>
      </c>
      <c r="R12" s="4">
        <v>670</v>
      </c>
      <c r="S12" s="4">
        <v>640</v>
      </c>
      <c r="T12" s="4">
        <v>920</v>
      </c>
      <c r="U12" s="4"/>
      <c r="V12" s="4" t="s">
        <v>113</v>
      </c>
      <c r="W12" s="4" t="s">
        <v>114</v>
      </c>
      <c r="X12" s="4"/>
      <c r="Y12" s="4"/>
      <c r="Z12" s="4" t="s">
        <v>115</v>
      </c>
      <c r="AA12" s="4"/>
      <c r="AB12" s="5">
        <v>850</v>
      </c>
      <c r="AC12" s="5">
        <f t="shared" si="0"/>
        <v>2550</v>
      </c>
      <c r="AD12" s="6">
        <v>0.75</v>
      </c>
      <c r="AE12" s="5">
        <f t="shared" si="1"/>
        <v>19.125</v>
      </c>
      <c r="AF12" s="4" t="s">
        <v>82</v>
      </c>
      <c r="AG12" s="4">
        <v>12</v>
      </c>
      <c r="AH12" s="1"/>
    </row>
    <row r="13" spans="1:34" ht="18" customHeight="1" x14ac:dyDescent="0.25">
      <c r="A13" s="7">
        <v>100008</v>
      </c>
      <c r="B13" s="7" t="s">
        <v>68</v>
      </c>
      <c r="C13" s="7" t="s">
        <v>69</v>
      </c>
      <c r="D13" s="7" t="s">
        <v>70</v>
      </c>
      <c r="E13" s="7" t="s">
        <v>71</v>
      </c>
      <c r="F13" s="7" t="s">
        <v>107</v>
      </c>
      <c r="G13" s="7" t="s">
        <v>73</v>
      </c>
      <c r="H13" s="7" t="s">
        <v>102</v>
      </c>
      <c r="I13" s="7" t="s">
        <v>116</v>
      </c>
      <c r="J13" s="7" t="s">
        <v>117</v>
      </c>
      <c r="K13" s="7" t="s">
        <v>118</v>
      </c>
      <c r="L13" s="7">
        <v>3</v>
      </c>
      <c r="M13" s="7" t="s">
        <v>100</v>
      </c>
      <c r="N13" s="7"/>
      <c r="O13" s="7"/>
      <c r="P13" s="7">
        <v>2</v>
      </c>
      <c r="Q13" s="7" t="s">
        <v>79</v>
      </c>
      <c r="R13" s="7">
        <v>900</v>
      </c>
      <c r="S13" s="7">
        <v>580</v>
      </c>
      <c r="T13" s="7">
        <v>1330</v>
      </c>
      <c r="U13" s="7"/>
      <c r="V13" s="7" t="s">
        <v>119</v>
      </c>
      <c r="W13" s="7"/>
      <c r="X13" s="7"/>
      <c r="Y13" s="7"/>
      <c r="Z13" s="7" t="s">
        <v>120</v>
      </c>
      <c r="AA13" s="7"/>
      <c r="AB13" s="8">
        <v>950</v>
      </c>
      <c r="AC13" s="8">
        <f t="shared" si="0"/>
        <v>1900</v>
      </c>
      <c r="AD13" s="9">
        <v>0.5</v>
      </c>
      <c r="AE13" s="8">
        <f t="shared" si="1"/>
        <v>9.5</v>
      </c>
      <c r="AF13" s="7" t="s">
        <v>82</v>
      </c>
      <c r="AG13" s="7">
        <v>20</v>
      </c>
      <c r="AH13" s="1"/>
    </row>
    <row r="14" spans="1:34" ht="18" customHeight="1" x14ac:dyDescent="0.25">
      <c r="A14" s="4">
        <v>100009</v>
      </c>
      <c r="B14" s="4" t="s">
        <v>68</v>
      </c>
      <c r="C14" s="4" t="s">
        <v>69</v>
      </c>
      <c r="D14" s="4" t="s">
        <v>70</v>
      </c>
      <c r="E14" s="4" t="s">
        <v>71</v>
      </c>
      <c r="F14" s="4" t="s">
        <v>107</v>
      </c>
      <c r="G14" s="4" t="s">
        <v>73</v>
      </c>
      <c r="H14" s="4" t="s">
        <v>102</v>
      </c>
      <c r="I14" s="4" t="s">
        <v>121</v>
      </c>
      <c r="J14" s="4" t="s">
        <v>122</v>
      </c>
      <c r="K14" s="4" t="s">
        <v>123</v>
      </c>
      <c r="L14" s="4">
        <v>2</v>
      </c>
      <c r="M14" s="4" t="s">
        <v>78</v>
      </c>
      <c r="N14" s="4"/>
      <c r="O14" s="4"/>
      <c r="P14" s="4">
        <v>3</v>
      </c>
      <c r="Q14" s="4" t="s">
        <v>79</v>
      </c>
      <c r="R14" s="4">
        <v>460</v>
      </c>
      <c r="S14" s="4">
        <v>570</v>
      </c>
      <c r="T14" s="4">
        <v>690</v>
      </c>
      <c r="U14" s="4"/>
      <c r="V14" s="4"/>
      <c r="W14" s="4"/>
      <c r="X14" s="4"/>
      <c r="Y14" s="4"/>
      <c r="Z14" s="4" t="s">
        <v>105</v>
      </c>
      <c r="AA14" s="4"/>
      <c r="AB14" s="5">
        <v>520</v>
      </c>
      <c r="AC14" s="5">
        <f t="shared" si="0"/>
        <v>1560</v>
      </c>
      <c r="AD14" s="6">
        <v>0.75</v>
      </c>
      <c r="AE14" s="5">
        <f t="shared" si="1"/>
        <v>11.7</v>
      </c>
      <c r="AF14" s="4" t="s">
        <v>82</v>
      </c>
      <c r="AG14" s="4">
        <v>20</v>
      </c>
      <c r="AH14" s="1"/>
    </row>
    <row r="15" spans="1:34" ht="18" customHeight="1" x14ac:dyDescent="0.25">
      <c r="A15" s="7">
        <v>100010</v>
      </c>
      <c r="B15" s="7" t="s">
        <v>68</v>
      </c>
      <c r="C15" s="7" t="s">
        <v>69</v>
      </c>
      <c r="D15" s="7" t="s">
        <v>70</v>
      </c>
      <c r="E15" s="7" t="s">
        <v>71</v>
      </c>
      <c r="F15" s="7" t="s">
        <v>107</v>
      </c>
      <c r="G15" s="7" t="s">
        <v>124</v>
      </c>
      <c r="H15" s="7" t="s">
        <v>125</v>
      </c>
      <c r="I15" s="7" t="s">
        <v>126</v>
      </c>
      <c r="J15" s="7" t="s">
        <v>76</v>
      </c>
      <c r="K15" s="7" t="s">
        <v>127</v>
      </c>
      <c r="L15" s="7">
        <v>2</v>
      </c>
      <c r="M15" s="7" t="s">
        <v>78</v>
      </c>
      <c r="N15" s="7"/>
      <c r="O15" s="7"/>
      <c r="P15" s="7">
        <v>3</v>
      </c>
      <c r="Q15" s="7" t="s">
        <v>79</v>
      </c>
      <c r="R15" s="7"/>
      <c r="S15" s="7"/>
      <c r="T15" s="7">
        <v>400</v>
      </c>
      <c r="U15" s="7"/>
      <c r="V15" s="7" t="s">
        <v>128</v>
      </c>
      <c r="W15" s="7" t="s">
        <v>129</v>
      </c>
      <c r="X15" s="7"/>
      <c r="Y15" s="7"/>
      <c r="Z15" s="7" t="s">
        <v>95</v>
      </c>
      <c r="AA15" s="7"/>
      <c r="AB15" s="8">
        <v>1850</v>
      </c>
      <c r="AC15" s="8">
        <f t="shared" si="0"/>
        <v>5550</v>
      </c>
      <c r="AD15" s="9">
        <v>0.75</v>
      </c>
      <c r="AE15" s="8">
        <f t="shared" si="1"/>
        <v>41.625</v>
      </c>
      <c r="AF15" s="7" t="s">
        <v>96</v>
      </c>
      <c r="AG15" s="7">
        <v>5</v>
      </c>
      <c r="AH15" s="1"/>
    </row>
    <row r="16" spans="1:34" ht="18" customHeight="1" x14ac:dyDescent="0.25">
      <c r="A16" s="4">
        <v>100011</v>
      </c>
      <c r="B16" s="4" t="s">
        <v>68</v>
      </c>
      <c r="C16" s="4" t="s">
        <v>69</v>
      </c>
      <c r="D16" s="4" t="s">
        <v>70</v>
      </c>
      <c r="E16" s="4" t="s">
        <v>71</v>
      </c>
      <c r="F16" s="4" t="s">
        <v>107</v>
      </c>
      <c r="G16" s="4" t="s">
        <v>124</v>
      </c>
      <c r="H16" s="4" t="s">
        <v>130</v>
      </c>
      <c r="I16" s="4" t="s">
        <v>131</v>
      </c>
      <c r="J16" s="4" t="s">
        <v>76</v>
      </c>
      <c r="K16" s="4" t="s">
        <v>132</v>
      </c>
      <c r="L16" s="4">
        <v>2</v>
      </c>
      <c r="M16" s="4" t="s">
        <v>78</v>
      </c>
      <c r="N16" s="4"/>
      <c r="O16" s="4"/>
      <c r="P16" s="4">
        <v>3</v>
      </c>
      <c r="Q16" s="4" t="s">
        <v>79</v>
      </c>
      <c r="R16" s="4"/>
      <c r="S16" s="4"/>
      <c r="T16" s="4"/>
      <c r="U16" s="4">
        <v>27</v>
      </c>
      <c r="V16" s="4" t="s">
        <v>128</v>
      </c>
      <c r="W16" s="4" t="s">
        <v>133</v>
      </c>
      <c r="X16" s="4"/>
      <c r="Y16" s="4"/>
      <c r="Z16" s="4" t="s">
        <v>95</v>
      </c>
      <c r="AA16" s="4"/>
      <c r="AB16" s="5">
        <v>580</v>
      </c>
      <c r="AC16" s="5">
        <f t="shared" si="0"/>
        <v>1740</v>
      </c>
      <c r="AD16" s="6">
        <v>0.75</v>
      </c>
      <c r="AE16" s="5">
        <f t="shared" si="1"/>
        <v>13.05</v>
      </c>
      <c r="AF16" s="4" t="s">
        <v>96</v>
      </c>
      <c r="AG16" s="4">
        <v>5</v>
      </c>
      <c r="AH16" s="1"/>
    </row>
    <row r="17" spans="1:34" ht="18" customHeight="1" x14ac:dyDescent="0.25">
      <c r="A17" s="7">
        <v>100012</v>
      </c>
      <c r="B17" s="7" t="s">
        <v>68</v>
      </c>
      <c r="C17" s="7" t="s">
        <v>69</v>
      </c>
      <c r="D17" s="7" t="s">
        <v>70</v>
      </c>
      <c r="E17" s="7" t="s">
        <v>71</v>
      </c>
      <c r="F17" s="7" t="s">
        <v>107</v>
      </c>
      <c r="G17" s="7" t="s">
        <v>124</v>
      </c>
      <c r="H17" s="7" t="s">
        <v>130</v>
      </c>
      <c r="I17" s="7" t="s">
        <v>134</v>
      </c>
      <c r="J17" s="7" t="s">
        <v>76</v>
      </c>
      <c r="K17" s="7" t="s">
        <v>135</v>
      </c>
      <c r="L17" s="7">
        <v>3</v>
      </c>
      <c r="M17" s="7" t="s">
        <v>100</v>
      </c>
      <c r="N17" s="7"/>
      <c r="O17" s="7"/>
      <c r="P17" s="7">
        <v>1</v>
      </c>
      <c r="Q17" s="7" t="s">
        <v>79</v>
      </c>
      <c r="R17" s="7">
        <v>580</v>
      </c>
      <c r="S17" s="7">
        <v>560</v>
      </c>
      <c r="T17" s="7">
        <v>680</v>
      </c>
      <c r="U17" s="7"/>
      <c r="V17" s="7" t="s">
        <v>136</v>
      </c>
      <c r="W17" s="7" t="s">
        <v>137</v>
      </c>
      <c r="X17" s="7" t="s">
        <v>138</v>
      </c>
      <c r="Y17" s="7"/>
      <c r="Z17" s="7" t="s">
        <v>139</v>
      </c>
      <c r="AA17" s="7"/>
      <c r="AB17" s="8">
        <v>1600</v>
      </c>
      <c r="AC17" s="8">
        <f t="shared" si="0"/>
        <v>1600</v>
      </c>
      <c r="AD17" s="9">
        <v>0.5</v>
      </c>
      <c r="AE17" s="8">
        <f t="shared" si="1"/>
        <v>8</v>
      </c>
      <c r="AF17" s="7" t="s">
        <v>96</v>
      </c>
      <c r="AG17" s="7">
        <v>8</v>
      </c>
      <c r="AH17" s="1"/>
    </row>
    <row r="18" spans="1:34" ht="18" customHeight="1" x14ac:dyDescent="0.25">
      <c r="A18" s="4">
        <v>100013</v>
      </c>
      <c r="B18" s="4" t="s">
        <v>68</v>
      </c>
      <c r="C18" s="4" t="s">
        <v>69</v>
      </c>
      <c r="D18" s="4" t="s">
        <v>70</v>
      </c>
      <c r="E18" s="4" t="s">
        <v>71</v>
      </c>
      <c r="F18" s="4" t="s">
        <v>107</v>
      </c>
      <c r="G18" s="4" t="s">
        <v>73</v>
      </c>
      <c r="H18" s="4" t="s">
        <v>74</v>
      </c>
      <c r="I18" s="4" t="s">
        <v>75</v>
      </c>
      <c r="J18" s="4" t="s">
        <v>76</v>
      </c>
      <c r="K18" s="4" t="s">
        <v>140</v>
      </c>
      <c r="L18" s="4">
        <v>2</v>
      </c>
      <c r="M18" s="4" t="s">
        <v>78</v>
      </c>
      <c r="N18" s="4"/>
      <c r="O18" s="4"/>
      <c r="P18" s="4">
        <v>2</v>
      </c>
      <c r="Q18" s="4" t="s">
        <v>79</v>
      </c>
      <c r="R18" s="4">
        <v>520</v>
      </c>
      <c r="S18" s="4">
        <v>560</v>
      </c>
      <c r="T18" s="4">
        <v>820</v>
      </c>
      <c r="U18" s="4"/>
      <c r="V18" s="4"/>
      <c r="W18" s="4"/>
      <c r="X18" s="4"/>
      <c r="Y18" s="4"/>
      <c r="Z18" s="4" t="s">
        <v>81</v>
      </c>
      <c r="AA18" s="4"/>
      <c r="AB18" s="5">
        <v>420</v>
      </c>
      <c r="AC18" s="5">
        <f t="shared" si="0"/>
        <v>840</v>
      </c>
      <c r="AD18" s="6">
        <v>0.75</v>
      </c>
      <c r="AE18" s="5">
        <f t="shared" si="1"/>
        <v>6.3</v>
      </c>
      <c r="AF18" s="4" t="s">
        <v>82</v>
      </c>
      <c r="AG18" s="4">
        <v>12</v>
      </c>
      <c r="AH18" s="1"/>
    </row>
    <row r="19" spans="1:34" ht="18" customHeight="1" x14ac:dyDescent="0.25">
      <c r="A19" s="7">
        <v>100014</v>
      </c>
      <c r="B19" s="7" t="s">
        <v>68</v>
      </c>
      <c r="C19" s="7" t="s">
        <v>69</v>
      </c>
      <c r="D19" s="7" t="s">
        <v>70</v>
      </c>
      <c r="E19" s="7" t="s">
        <v>71</v>
      </c>
      <c r="F19" s="7" t="s">
        <v>141</v>
      </c>
      <c r="G19" s="7" t="s">
        <v>73</v>
      </c>
      <c r="H19" s="7" t="s">
        <v>142</v>
      </c>
      <c r="I19" s="7" t="s">
        <v>143</v>
      </c>
      <c r="J19" s="7" t="s">
        <v>76</v>
      </c>
      <c r="K19" s="7" t="s">
        <v>144</v>
      </c>
      <c r="L19" s="7">
        <v>2</v>
      </c>
      <c r="M19" s="7" t="s">
        <v>78</v>
      </c>
      <c r="N19" s="7"/>
      <c r="O19" s="7"/>
      <c r="P19" s="7">
        <v>1</v>
      </c>
      <c r="Q19" s="7" t="s">
        <v>79</v>
      </c>
      <c r="R19" s="7">
        <v>3600</v>
      </c>
      <c r="S19" s="7">
        <v>1200</v>
      </c>
      <c r="T19" s="7">
        <v>750</v>
      </c>
      <c r="U19" s="7"/>
      <c r="V19" s="7" t="s">
        <v>86</v>
      </c>
      <c r="W19" s="7"/>
      <c r="X19" s="7"/>
      <c r="Y19" s="7"/>
      <c r="Z19" s="7" t="s">
        <v>145</v>
      </c>
      <c r="AA19" s="7"/>
      <c r="AB19" s="8">
        <v>9500</v>
      </c>
      <c r="AC19" s="8">
        <f t="shared" si="0"/>
        <v>9500</v>
      </c>
      <c r="AD19" s="9">
        <v>0.75</v>
      </c>
      <c r="AE19" s="8">
        <f t="shared" si="1"/>
        <v>71.25</v>
      </c>
      <c r="AF19" s="7" t="s">
        <v>82</v>
      </c>
      <c r="AG19" s="7">
        <v>20</v>
      </c>
      <c r="AH19" s="1"/>
    </row>
    <row r="20" spans="1:34" ht="18" customHeight="1" x14ac:dyDescent="0.25">
      <c r="A20" s="4">
        <v>100015</v>
      </c>
      <c r="B20" s="4" t="s">
        <v>68</v>
      </c>
      <c r="C20" s="4" t="s">
        <v>69</v>
      </c>
      <c r="D20" s="4" t="s">
        <v>70</v>
      </c>
      <c r="E20" s="4" t="s">
        <v>71</v>
      </c>
      <c r="F20" s="4" t="s">
        <v>141</v>
      </c>
      <c r="G20" s="4" t="s">
        <v>73</v>
      </c>
      <c r="H20" s="4" t="s">
        <v>74</v>
      </c>
      <c r="I20" s="4" t="s">
        <v>146</v>
      </c>
      <c r="J20" s="4" t="s">
        <v>76</v>
      </c>
      <c r="K20" s="4" t="s">
        <v>147</v>
      </c>
      <c r="L20" s="4">
        <v>2</v>
      </c>
      <c r="M20" s="4" t="s">
        <v>78</v>
      </c>
      <c r="N20" s="4"/>
      <c r="O20" s="4"/>
      <c r="P20" s="4">
        <v>12</v>
      </c>
      <c r="Q20" s="4" t="s">
        <v>79</v>
      </c>
      <c r="R20" s="4">
        <v>550</v>
      </c>
      <c r="S20" s="4">
        <v>590</v>
      </c>
      <c r="T20" s="4">
        <v>1150</v>
      </c>
      <c r="U20" s="4"/>
      <c r="V20" s="4" t="s">
        <v>80</v>
      </c>
      <c r="W20" s="4" t="s">
        <v>148</v>
      </c>
      <c r="X20" s="4"/>
      <c r="Y20" s="4"/>
      <c r="Z20" s="4" t="s">
        <v>115</v>
      </c>
      <c r="AA20" s="4"/>
      <c r="AB20" s="5">
        <v>520</v>
      </c>
      <c r="AC20" s="5">
        <f t="shared" si="0"/>
        <v>6240</v>
      </c>
      <c r="AD20" s="6">
        <v>0.75</v>
      </c>
      <c r="AE20" s="5">
        <f t="shared" si="1"/>
        <v>46.8</v>
      </c>
      <c r="AF20" s="4" t="s">
        <v>82</v>
      </c>
      <c r="AG20" s="4">
        <v>12</v>
      </c>
      <c r="AH20" s="1"/>
    </row>
    <row r="21" spans="1:34" ht="18" customHeight="1" x14ac:dyDescent="0.25">
      <c r="A21" s="7">
        <v>100016</v>
      </c>
      <c r="B21" s="7" t="s">
        <v>68</v>
      </c>
      <c r="C21" s="7" t="s">
        <v>69</v>
      </c>
      <c r="D21" s="7" t="s">
        <v>70</v>
      </c>
      <c r="E21" s="7" t="s">
        <v>71</v>
      </c>
      <c r="F21" s="7" t="s">
        <v>141</v>
      </c>
      <c r="G21" s="7" t="s">
        <v>88</v>
      </c>
      <c r="H21" s="7" t="s">
        <v>89</v>
      </c>
      <c r="I21" s="7" t="s">
        <v>90</v>
      </c>
      <c r="J21" s="7" t="s">
        <v>76</v>
      </c>
      <c r="K21" s="7" t="s">
        <v>149</v>
      </c>
      <c r="L21" s="7">
        <v>2</v>
      </c>
      <c r="M21" s="7" t="s">
        <v>78</v>
      </c>
      <c r="N21" s="7"/>
      <c r="O21" s="7"/>
      <c r="P21" s="7">
        <v>2</v>
      </c>
      <c r="Q21" s="7" t="s">
        <v>79</v>
      </c>
      <c r="R21" s="7"/>
      <c r="S21" s="7"/>
      <c r="T21" s="7"/>
      <c r="U21" s="7">
        <v>75</v>
      </c>
      <c r="V21" s="7" t="s">
        <v>150</v>
      </c>
      <c r="W21" s="7" t="s">
        <v>151</v>
      </c>
      <c r="X21" s="7" t="s">
        <v>152</v>
      </c>
      <c r="Y21" s="7"/>
      <c r="Z21" s="7" t="s">
        <v>95</v>
      </c>
      <c r="AA21" s="7"/>
      <c r="AB21" s="8">
        <v>3400</v>
      </c>
      <c r="AC21" s="8">
        <f t="shared" si="0"/>
        <v>6800</v>
      </c>
      <c r="AD21" s="9">
        <v>0.75</v>
      </c>
      <c r="AE21" s="8">
        <f t="shared" si="1"/>
        <v>51</v>
      </c>
      <c r="AF21" s="7" t="s">
        <v>96</v>
      </c>
      <c r="AG21" s="7">
        <v>8</v>
      </c>
      <c r="AH21" s="1"/>
    </row>
    <row r="22" spans="1:34" ht="18" customHeight="1" x14ac:dyDescent="0.25">
      <c r="A22" s="4">
        <v>100017</v>
      </c>
      <c r="B22" s="4" t="s">
        <v>68</v>
      </c>
      <c r="C22" s="4" t="s">
        <v>69</v>
      </c>
      <c r="D22" s="4" t="s">
        <v>70</v>
      </c>
      <c r="E22" s="4" t="s">
        <v>71</v>
      </c>
      <c r="F22" s="4" t="s">
        <v>141</v>
      </c>
      <c r="G22" s="4" t="s">
        <v>88</v>
      </c>
      <c r="H22" s="4" t="s">
        <v>153</v>
      </c>
      <c r="I22" s="4" t="s">
        <v>154</v>
      </c>
      <c r="J22" s="4" t="s">
        <v>76</v>
      </c>
      <c r="K22" s="4" t="s">
        <v>155</v>
      </c>
      <c r="L22" s="4">
        <v>2</v>
      </c>
      <c r="M22" s="4" t="s">
        <v>78</v>
      </c>
      <c r="N22" s="4"/>
      <c r="O22" s="4"/>
      <c r="P22" s="4">
        <v>1</v>
      </c>
      <c r="Q22" s="4" t="s">
        <v>79</v>
      </c>
      <c r="R22" s="4">
        <v>700</v>
      </c>
      <c r="S22" s="4">
        <v>150</v>
      </c>
      <c r="T22" s="4">
        <v>100</v>
      </c>
      <c r="U22" s="4"/>
      <c r="V22" s="4" t="s">
        <v>156</v>
      </c>
      <c r="W22" s="4" t="s">
        <v>157</v>
      </c>
      <c r="X22" s="4" t="s">
        <v>158</v>
      </c>
      <c r="Y22" s="4"/>
      <c r="Z22" s="4" t="s">
        <v>95</v>
      </c>
      <c r="AA22" s="4"/>
      <c r="AB22" s="5">
        <v>9200</v>
      </c>
      <c r="AC22" s="5">
        <f t="shared" si="0"/>
        <v>9200</v>
      </c>
      <c r="AD22" s="6">
        <v>0.75</v>
      </c>
      <c r="AE22" s="5">
        <f t="shared" si="1"/>
        <v>69</v>
      </c>
      <c r="AF22" s="4" t="s">
        <v>96</v>
      </c>
      <c r="AG22" s="4">
        <v>8</v>
      </c>
      <c r="AH22" s="1"/>
    </row>
    <row r="23" spans="1:34" ht="18" customHeight="1" x14ac:dyDescent="0.25">
      <c r="A23" s="7">
        <v>100018</v>
      </c>
      <c r="B23" s="7" t="s">
        <v>68</v>
      </c>
      <c r="C23" s="7" t="s">
        <v>69</v>
      </c>
      <c r="D23" s="7" t="s">
        <v>70</v>
      </c>
      <c r="E23" s="7" t="s">
        <v>71</v>
      </c>
      <c r="F23" s="7" t="s">
        <v>141</v>
      </c>
      <c r="G23" s="7" t="s">
        <v>73</v>
      </c>
      <c r="H23" s="7" t="s">
        <v>102</v>
      </c>
      <c r="I23" s="7" t="s">
        <v>159</v>
      </c>
      <c r="J23" s="7" t="s">
        <v>76</v>
      </c>
      <c r="K23" s="7" t="s">
        <v>160</v>
      </c>
      <c r="L23" s="7">
        <v>2</v>
      </c>
      <c r="M23" s="7" t="s">
        <v>78</v>
      </c>
      <c r="N23" s="7"/>
      <c r="O23" s="7"/>
      <c r="P23" s="7">
        <v>2</v>
      </c>
      <c r="Q23" s="7" t="s">
        <v>79</v>
      </c>
      <c r="R23" s="7">
        <v>1800</v>
      </c>
      <c r="S23" s="7">
        <v>450</v>
      </c>
      <c r="T23" s="7">
        <v>750</v>
      </c>
      <c r="U23" s="7"/>
      <c r="V23" s="7"/>
      <c r="W23" s="7"/>
      <c r="X23" s="7"/>
      <c r="Y23" s="7"/>
      <c r="Z23" s="7" t="s">
        <v>145</v>
      </c>
      <c r="AA23" s="7"/>
      <c r="AB23" s="8">
        <v>1600</v>
      </c>
      <c r="AC23" s="8">
        <f t="shared" si="0"/>
        <v>3200</v>
      </c>
      <c r="AD23" s="9">
        <v>0.75</v>
      </c>
      <c r="AE23" s="8">
        <f t="shared" si="1"/>
        <v>24</v>
      </c>
      <c r="AF23" s="7" t="s">
        <v>82</v>
      </c>
      <c r="AG23" s="7">
        <v>20</v>
      </c>
      <c r="AH23" s="1"/>
    </row>
    <row r="24" spans="1:34" ht="18" customHeight="1" x14ac:dyDescent="0.25">
      <c r="A24" s="4">
        <v>100019</v>
      </c>
      <c r="B24" s="4" t="s">
        <v>68</v>
      </c>
      <c r="C24" s="4" t="s">
        <v>69</v>
      </c>
      <c r="D24" s="4" t="s">
        <v>70</v>
      </c>
      <c r="E24" s="4" t="s">
        <v>71</v>
      </c>
      <c r="F24" s="4" t="s">
        <v>161</v>
      </c>
      <c r="G24" s="4" t="s">
        <v>162</v>
      </c>
      <c r="H24" s="4" t="s">
        <v>163</v>
      </c>
      <c r="I24" s="4" t="s">
        <v>164</v>
      </c>
      <c r="J24" s="4" t="s">
        <v>76</v>
      </c>
      <c r="K24" s="4" t="s">
        <v>165</v>
      </c>
      <c r="L24" s="4">
        <v>2</v>
      </c>
      <c r="M24" s="4" t="s">
        <v>78</v>
      </c>
      <c r="N24" s="4"/>
      <c r="O24" s="4"/>
      <c r="P24" s="4">
        <v>1</v>
      </c>
      <c r="Q24" s="4" t="s">
        <v>79</v>
      </c>
      <c r="R24" s="4">
        <v>750</v>
      </c>
      <c r="S24" s="4">
        <v>680</v>
      </c>
      <c r="T24" s="4">
        <v>1780</v>
      </c>
      <c r="U24" s="4"/>
      <c r="V24" s="4" t="s">
        <v>166</v>
      </c>
      <c r="W24" s="4" t="s">
        <v>167</v>
      </c>
      <c r="X24" s="4" t="s">
        <v>168</v>
      </c>
      <c r="Y24" s="4"/>
      <c r="Z24" s="4" t="s">
        <v>169</v>
      </c>
      <c r="AA24" s="4"/>
      <c r="AB24" s="5">
        <v>1900</v>
      </c>
      <c r="AC24" s="5">
        <f t="shared" si="0"/>
        <v>1900</v>
      </c>
      <c r="AD24" s="6">
        <v>0.75</v>
      </c>
      <c r="AE24" s="5">
        <f t="shared" si="1"/>
        <v>14.25</v>
      </c>
      <c r="AF24" s="4" t="s">
        <v>96</v>
      </c>
      <c r="AG24" s="4">
        <v>12</v>
      </c>
      <c r="AH24" s="1"/>
    </row>
    <row r="25" spans="1:34" ht="18" customHeight="1" x14ac:dyDescent="0.25">
      <c r="A25" s="7">
        <v>100020</v>
      </c>
      <c r="B25" s="7" t="s">
        <v>68</v>
      </c>
      <c r="C25" s="7" t="s">
        <v>69</v>
      </c>
      <c r="D25" s="7" t="s">
        <v>70</v>
      </c>
      <c r="E25" s="7" t="s">
        <v>71</v>
      </c>
      <c r="F25" s="7" t="s">
        <v>161</v>
      </c>
      <c r="G25" s="7" t="s">
        <v>162</v>
      </c>
      <c r="H25" s="7" t="s">
        <v>163</v>
      </c>
      <c r="I25" s="7" t="s">
        <v>170</v>
      </c>
      <c r="J25" s="7" t="s">
        <v>76</v>
      </c>
      <c r="K25" s="7" t="s">
        <v>171</v>
      </c>
      <c r="L25" s="7">
        <v>3</v>
      </c>
      <c r="M25" s="7" t="s">
        <v>100</v>
      </c>
      <c r="N25" s="7"/>
      <c r="O25" s="7"/>
      <c r="P25" s="7">
        <v>1</v>
      </c>
      <c r="Q25" s="7" t="s">
        <v>79</v>
      </c>
      <c r="R25" s="7">
        <v>600</v>
      </c>
      <c r="S25" s="7">
        <v>610</v>
      </c>
      <c r="T25" s="7">
        <v>850</v>
      </c>
      <c r="U25" s="7"/>
      <c r="V25" s="7" t="s">
        <v>172</v>
      </c>
      <c r="W25" s="7" t="s">
        <v>173</v>
      </c>
      <c r="X25" s="7" t="s">
        <v>174</v>
      </c>
      <c r="Y25" s="7"/>
      <c r="Z25" s="7" t="s">
        <v>105</v>
      </c>
      <c r="AA25" s="7"/>
      <c r="AB25" s="8">
        <v>1450</v>
      </c>
      <c r="AC25" s="8">
        <f t="shared" si="0"/>
        <v>1450</v>
      </c>
      <c r="AD25" s="9">
        <v>0.5</v>
      </c>
      <c r="AE25" s="8">
        <f t="shared" si="1"/>
        <v>7.25</v>
      </c>
      <c r="AF25" s="7" t="s">
        <v>96</v>
      </c>
      <c r="AG25" s="7">
        <v>12</v>
      </c>
      <c r="AH25" s="1"/>
    </row>
    <row r="26" spans="1:34" ht="18" customHeight="1" x14ac:dyDescent="0.25">
      <c r="A26" s="4">
        <v>100021</v>
      </c>
      <c r="B26" s="4" t="s">
        <v>68</v>
      </c>
      <c r="C26" s="4" t="s">
        <v>69</v>
      </c>
      <c r="D26" s="4" t="s">
        <v>70</v>
      </c>
      <c r="E26" s="4" t="s">
        <v>71</v>
      </c>
      <c r="F26" s="4" t="s">
        <v>161</v>
      </c>
      <c r="G26" s="4" t="s">
        <v>162</v>
      </c>
      <c r="H26" s="4" t="s">
        <v>163</v>
      </c>
      <c r="I26" s="4" t="s">
        <v>175</v>
      </c>
      <c r="J26" s="4" t="s">
        <v>76</v>
      </c>
      <c r="K26" s="4" t="s">
        <v>176</v>
      </c>
      <c r="L26" s="4">
        <v>2</v>
      </c>
      <c r="M26" s="4" t="s">
        <v>78</v>
      </c>
      <c r="N26" s="4"/>
      <c r="O26" s="4"/>
      <c r="P26" s="4">
        <v>1</v>
      </c>
      <c r="Q26" s="4" t="s">
        <v>79</v>
      </c>
      <c r="R26" s="4">
        <v>510</v>
      </c>
      <c r="S26" s="4">
        <v>430</v>
      </c>
      <c r="T26" s="4">
        <v>310</v>
      </c>
      <c r="U26" s="4"/>
      <c r="V26" s="4" t="s">
        <v>177</v>
      </c>
      <c r="W26" s="4" t="s">
        <v>178</v>
      </c>
      <c r="X26" s="4"/>
      <c r="Y26" s="4"/>
      <c r="Z26" s="4" t="s">
        <v>105</v>
      </c>
      <c r="AA26" s="4"/>
      <c r="AB26" s="5">
        <v>420</v>
      </c>
      <c r="AC26" s="5">
        <f t="shared" si="0"/>
        <v>420</v>
      </c>
      <c r="AD26" s="6">
        <v>0.75</v>
      </c>
      <c r="AE26" s="5">
        <f t="shared" si="1"/>
        <v>3.15</v>
      </c>
      <c r="AF26" s="4" t="s">
        <v>96</v>
      </c>
      <c r="AG26" s="4">
        <v>10</v>
      </c>
      <c r="AH26" s="1"/>
    </row>
    <row r="27" spans="1:34" ht="18" customHeight="1" x14ac:dyDescent="0.25">
      <c r="A27" s="7">
        <v>100022</v>
      </c>
      <c r="B27" s="7" t="s">
        <v>68</v>
      </c>
      <c r="C27" s="7" t="s">
        <v>69</v>
      </c>
      <c r="D27" s="7" t="s">
        <v>70</v>
      </c>
      <c r="E27" s="7" t="s">
        <v>71</v>
      </c>
      <c r="F27" s="7" t="s">
        <v>161</v>
      </c>
      <c r="G27" s="7" t="s">
        <v>162</v>
      </c>
      <c r="H27" s="7" t="s">
        <v>163</v>
      </c>
      <c r="I27" s="7" t="s">
        <v>179</v>
      </c>
      <c r="J27" s="7" t="s">
        <v>76</v>
      </c>
      <c r="K27" s="7" t="s">
        <v>180</v>
      </c>
      <c r="L27" s="7">
        <v>2</v>
      </c>
      <c r="M27" s="7" t="s">
        <v>78</v>
      </c>
      <c r="N27" s="7"/>
      <c r="O27" s="7"/>
      <c r="P27" s="7">
        <v>1</v>
      </c>
      <c r="Q27" s="7" t="s">
        <v>79</v>
      </c>
      <c r="R27" s="7">
        <v>280</v>
      </c>
      <c r="S27" s="7">
        <v>380</v>
      </c>
      <c r="T27" s="7">
        <v>360</v>
      </c>
      <c r="U27" s="7"/>
      <c r="V27" s="7" t="s">
        <v>181</v>
      </c>
      <c r="W27" s="7" t="s">
        <v>182</v>
      </c>
      <c r="X27" s="7" t="s">
        <v>183</v>
      </c>
      <c r="Y27" s="7"/>
      <c r="Z27" s="7" t="s">
        <v>184</v>
      </c>
      <c r="AA27" s="7" t="s">
        <v>185</v>
      </c>
      <c r="AB27" s="8">
        <v>1600</v>
      </c>
      <c r="AC27" s="8">
        <f t="shared" si="0"/>
        <v>1600</v>
      </c>
      <c r="AD27" s="9">
        <v>0.75</v>
      </c>
      <c r="AE27" s="8">
        <f t="shared" si="1"/>
        <v>12</v>
      </c>
      <c r="AF27" s="7" t="s">
        <v>96</v>
      </c>
      <c r="AG27" s="7">
        <v>10</v>
      </c>
      <c r="AH27" s="1"/>
    </row>
    <row r="28" spans="1:34" ht="18" customHeight="1" x14ac:dyDescent="0.25">
      <c r="A28" s="4">
        <v>100023</v>
      </c>
      <c r="B28" s="4" t="s">
        <v>68</v>
      </c>
      <c r="C28" s="4" t="s">
        <v>69</v>
      </c>
      <c r="D28" s="4" t="s">
        <v>70</v>
      </c>
      <c r="E28" s="4" t="s">
        <v>71</v>
      </c>
      <c r="F28" s="4" t="s">
        <v>161</v>
      </c>
      <c r="G28" s="4" t="s">
        <v>162</v>
      </c>
      <c r="H28" s="4" t="s">
        <v>163</v>
      </c>
      <c r="I28" s="4" t="s">
        <v>186</v>
      </c>
      <c r="J28" s="4" t="s">
        <v>76</v>
      </c>
      <c r="K28" s="4" t="s">
        <v>187</v>
      </c>
      <c r="L28" s="4">
        <v>2</v>
      </c>
      <c r="M28" s="4" t="s">
        <v>78</v>
      </c>
      <c r="N28" s="4"/>
      <c r="O28" s="4"/>
      <c r="P28" s="4">
        <v>1</v>
      </c>
      <c r="Q28" s="4" t="s">
        <v>79</v>
      </c>
      <c r="R28" s="4">
        <v>300</v>
      </c>
      <c r="S28" s="4">
        <v>370</v>
      </c>
      <c r="T28" s="4">
        <v>1100</v>
      </c>
      <c r="U28" s="4"/>
      <c r="V28" s="4" t="s">
        <v>188</v>
      </c>
      <c r="W28" s="4" t="s">
        <v>189</v>
      </c>
      <c r="X28" s="4" t="s">
        <v>190</v>
      </c>
      <c r="Y28" s="4"/>
      <c r="Z28" s="4" t="s">
        <v>191</v>
      </c>
      <c r="AA28" s="4"/>
      <c r="AB28" s="5">
        <v>950</v>
      </c>
      <c r="AC28" s="5">
        <f t="shared" si="0"/>
        <v>950</v>
      </c>
      <c r="AD28" s="6">
        <v>0.75</v>
      </c>
      <c r="AE28" s="5">
        <f t="shared" si="1"/>
        <v>7.125</v>
      </c>
      <c r="AF28" s="4" t="s">
        <v>96</v>
      </c>
      <c r="AG28" s="4">
        <v>12</v>
      </c>
      <c r="AH28" s="1"/>
    </row>
    <row r="29" spans="1:34" ht="18" customHeight="1" x14ac:dyDescent="0.25">
      <c r="A29" s="7">
        <v>100024</v>
      </c>
      <c r="B29" s="7" t="s">
        <v>68</v>
      </c>
      <c r="C29" s="7" t="s">
        <v>69</v>
      </c>
      <c r="D29" s="7" t="s">
        <v>70</v>
      </c>
      <c r="E29" s="7" t="s">
        <v>71</v>
      </c>
      <c r="F29" s="7" t="s">
        <v>161</v>
      </c>
      <c r="G29" s="7" t="s">
        <v>73</v>
      </c>
      <c r="H29" s="7" t="s">
        <v>142</v>
      </c>
      <c r="I29" s="7" t="s">
        <v>192</v>
      </c>
      <c r="J29" s="7" t="s">
        <v>76</v>
      </c>
      <c r="K29" s="7" t="s">
        <v>193</v>
      </c>
      <c r="L29" s="7">
        <v>3</v>
      </c>
      <c r="M29" s="7" t="s">
        <v>100</v>
      </c>
      <c r="N29" s="7"/>
      <c r="O29" s="7"/>
      <c r="P29" s="7">
        <v>1</v>
      </c>
      <c r="Q29" s="7" t="s">
        <v>79</v>
      </c>
      <c r="R29" s="7">
        <v>1800</v>
      </c>
      <c r="S29" s="7">
        <v>900</v>
      </c>
      <c r="T29" s="7">
        <v>750</v>
      </c>
      <c r="U29" s="7"/>
      <c r="V29" s="7"/>
      <c r="W29" s="7"/>
      <c r="X29" s="7"/>
      <c r="Y29" s="7"/>
      <c r="Z29" s="7" t="s">
        <v>110</v>
      </c>
      <c r="AA29" s="7"/>
      <c r="AB29" s="8">
        <v>1200</v>
      </c>
      <c r="AC29" s="8">
        <f t="shared" si="0"/>
        <v>1200</v>
      </c>
      <c r="AD29" s="9">
        <v>0.5</v>
      </c>
      <c r="AE29" s="8">
        <f t="shared" si="1"/>
        <v>6</v>
      </c>
      <c r="AF29" s="7" t="s">
        <v>82</v>
      </c>
      <c r="AG29" s="7">
        <v>20</v>
      </c>
      <c r="AH29" s="1"/>
    </row>
    <row r="30" spans="1:34" ht="18" customHeight="1" x14ac:dyDescent="0.25">
      <c r="A30" s="4">
        <v>100025</v>
      </c>
      <c r="B30" s="4" t="s">
        <v>68</v>
      </c>
      <c r="C30" s="4" t="s">
        <v>69</v>
      </c>
      <c r="D30" s="4" t="s">
        <v>70</v>
      </c>
      <c r="E30" s="4" t="s">
        <v>71</v>
      </c>
      <c r="F30" s="4" t="s">
        <v>161</v>
      </c>
      <c r="G30" s="4" t="s">
        <v>73</v>
      </c>
      <c r="H30" s="4" t="s">
        <v>74</v>
      </c>
      <c r="I30" s="4" t="s">
        <v>194</v>
      </c>
      <c r="J30" s="4" t="s">
        <v>76</v>
      </c>
      <c r="K30" s="4" t="s">
        <v>195</v>
      </c>
      <c r="L30" s="4">
        <v>2</v>
      </c>
      <c r="M30" s="4" t="s">
        <v>78</v>
      </c>
      <c r="N30" s="4"/>
      <c r="O30" s="4"/>
      <c r="P30" s="4">
        <v>4</v>
      </c>
      <c r="Q30" s="4" t="s">
        <v>79</v>
      </c>
      <c r="R30" s="4">
        <v>420</v>
      </c>
      <c r="S30" s="4">
        <v>400</v>
      </c>
      <c r="T30" s="4">
        <v>770</v>
      </c>
      <c r="U30" s="4"/>
      <c r="V30" s="4"/>
      <c r="W30" s="4"/>
      <c r="X30" s="4"/>
      <c r="Y30" s="4"/>
      <c r="Z30" s="4" t="s">
        <v>81</v>
      </c>
      <c r="AA30" s="4"/>
      <c r="AB30" s="5">
        <v>380</v>
      </c>
      <c r="AC30" s="5">
        <f t="shared" si="0"/>
        <v>1520</v>
      </c>
      <c r="AD30" s="6">
        <v>0.75</v>
      </c>
      <c r="AE30" s="5">
        <f t="shared" si="1"/>
        <v>11.4</v>
      </c>
      <c r="AF30" s="4" t="s">
        <v>82</v>
      </c>
      <c r="AG30" s="4">
        <v>12</v>
      </c>
      <c r="AH30" s="1"/>
    </row>
    <row r="31" spans="1:34" ht="18" customHeight="1" x14ac:dyDescent="0.25">
      <c r="A31" s="7">
        <v>100026</v>
      </c>
      <c r="B31" s="7" t="s">
        <v>68</v>
      </c>
      <c r="C31" s="7" t="s">
        <v>69</v>
      </c>
      <c r="D31" s="7" t="s">
        <v>70</v>
      </c>
      <c r="E31" s="7" t="s">
        <v>71</v>
      </c>
      <c r="F31" s="7" t="s">
        <v>196</v>
      </c>
      <c r="G31" s="7" t="s">
        <v>73</v>
      </c>
      <c r="H31" s="7" t="s">
        <v>83</v>
      </c>
      <c r="I31" s="7" t="s">
        <v>197</v>
      </c>
      <c r="J31" s="7" t="s">
        <v>198</v>
      </c>
      <c r="K31" s="7" t="s">
        <v>199</v>
      </c>
      <c r="L31" s="7">
        <v>2</v>
      </c>
      <c r="M31" s="7" t="s">
        <v>78</v>
      </c>
      <c r="N31" s="7"/>
      <c r="O31" s="7"/>
      <c r="P31" s="7">
        <v>6</v>
      </c>
      <c r="Q31" s="7" t="s">
        <v>79</v>
      </c>
      <c r="R31" s="7">
        <v>1600</v>
      </c>
      <c r="S31" s="7">
        <v>800</v>
      </c>
      <c r="T31" s="7">
        <v>650</v>
      </c>
      <c r="U31" s="7"/>
      <c r="V31" s="7" t="s">
        <v>200</v>
      </c>
      <c r="W31" s="7" t="s">
        <v>201</v>
      </c>
      <c r="X31" s="7"/>
      <c r="Y31" s="7"/>
      <c r="Z31" s="7" t="s">
        <v>105</v>
      </c>
      <c r="AA31" s="7" t="s">
        <v>202</v>
      </c>
      <c r="AB31" s="8">
        <v>2400</v>
      </c>
      <c r="AC31" s="8">
        <f t="shared" si="0"/>
        <v>14400</v>
      </c>
      <c r="AD31" s="9">
        <v>0.75</v>
      </c>
      <c r="AE31" s="8">
        <f t="shared" si="1"/>
        <v>108</v>
      </c>
      <c r="AF31" s="7" t="s">
        <v>82</v>
      </c>
      <c r="AG31" s="7">
        <v>15</v>
      </c>
      <c r="AH31" s="1"/>
    </row>
    <row r="32" spans="1:34" ht="18" customHeight="1" x14ac:dyDescent="0.25">
      <c r="A32" s="4">
        <v>100027</v>
      </c>
      <c r="B32" s="4" t="s">
        <v>68</v>
      </c>
      <c r="C32" s="4" t="s">
        <v>69</v>
      </c>
      <c r="D32" s="4" t="s">
        <v>70</v>
      </c>
      <c r="E32" s="4" t="s">
        <v>71</v>
      </c>
      <c r="F32" s="4" t="s">
        <v>196</v>
      </c>
      <c r="G32" s="4" t="s">
        <v>73</v>
      </c>
      <c r="H32" s="4" t="s">
        <v>74</v>
      </c>
      <c r="I32" s="4" t="s">
        <v>111</v>
      </c>
      <c r="J32" s="4" t="s">
        <v>76</v>
      </c>
      <c r="K32" s="4" t="s">
        <v>203</v>
      </c>
      <c r="L32" s="4">
        <v>2</v>
      </c>
      <c r="M32" s="4" t="s">
        <v>78</v>
      </c>
      <c r="N32" s="4"/>
      <c r="O32" s="4"/>
      <c r="P32" s="4">
        <v>6</v>
      </c>
      <c r="Q32" s="4" t="s">
        <v>79</v>
      </c>
      <c r="R32" s="4">
        <v>680</v>
      </c>
      <c r="S32" s="4">
        <v>650</v>
      </c>
      <c r="T32" s="4">
        <v>920</v>
      </c>
      <c r="U32" s="4"/>
      <c r="V32" s="4" t="s">
        <v>204</v>
      </c>
      <c r="W32" s="4" t="s">
        <v>205</v>
      </c>
      <c r="X32" s="4"/>
      <c r="Y32" s="4"/>
      <c r="Z32" s="4" t="s">
        <v>115</v>
      </c>
      <c r="AA32" s="4"/>
      <c r="AB32" s="5">
        <v>1850</v>
      </c>
      <c r="AC32" s="5">
        <f t="shared" si="0"/>
        <v>11100</v>
      </c>
      <c r="AD32" s="6">
        <v>0.75</v>
      </c>
      <c r="AE32" s="5">
        <f t="shared" si="1"/>
        <v>83.25</v>
      </c>
      <c r="AF32" s="4" t="s">
        <v>82</v>
      </c>
      <c r="AG32" s="4">
        <v>12</v>
      </c>
      <c r="AH32" s="1"/>
    </row>
    <row r="33" spans="1:34" ht="18" customHeight="1" x14ac:dyDescent="0.25">
      <c r="A33" s="7">
        <v>100028</v>
      </c>
      <c r="B33" s="7" t="s">
        <v>68</v>
      </c>
      <c r="C33" s="7" t="s">
        <v>69</v>
      </c>
      <c r="D33" s="7" t="s">
        <v>70</v>
      </c>
      <c r="E33" s="7" t="s">
        <v>71</v>
      </c>
      <c r="F33" s="7" t="s">
        <v>196</v>
      </c>
      <c r="G33" s="7" t="s">
        <v>124</v>
      </c>
      <c r="H33" s="7" t="s">
        <v>130</v>
      </c>
      <c r="I33" s="7" t="s">
        <v>131</v>
      </c>
      <c r="J33" s="7" t="s">
        <v>76</v>
      </c>
      <c r="K33" s="7" t="s">
        <v>206</v>
      </c>
      <c r="L33" s="7">
        <v>2</v>
      </c>
      <c r="M33" s="7" t="s">
        <v>78</v>
      </c>
      <c r="N33" s="7"/>
      <c r="O33" s="7"/>
      <c r="P33" s="7">
        <v>12</v>
      </c>
      <c r="Q33" s="7" t="s">
        <v>79</v>
      </c>
      <c r="R33" s="7"/>
      <c r="S33" s="7"/>
      <c r="T33" s="7"/>
      <c r="U33" s="7">
        <v>27</v>
      </c>
      <c r="V33" s="7" t="s">
        <v>128</v>
      </c>
      <c r="W33" s="7" t="s">
        <v>207</v>
      </c>
      <c r="X33" s="7"/>
      <c r="Y33" s="7"/>
      <c r="Z33" s="7" t="s">
        <v>95</v>
      </c>
      <c r="AA33" s="7"/>
      <c r="AB33" s="8">
        <v>580</v>
      </c>
      <c r="AC33" s="8">
        <f t="shared" si="0"/>
        <v>6960</v>
      </c>
      <c r="AD33" s="9">
        <v>0.75</v>
      </c>
      <c r="AE33" s="8">
        <f t="shared" si="1"/>
        <v>52.2</v>
      </c>
      <c r="AF33" s="7" t="s">
        <v>96</v>
      </c>
      <c r="AG33" s="7">
        <v>5</v>
      </c>
      <c r="AH33" s="1"/>
    </row>
    <row r="34" spans="1:34" ht="18" customHeight="1" x14ac:dyDescent="0.25">
      <c r="A34" s="4">
        <v>100029</v>
      </c>
      <c r="B34" s="4" t="s">
        <v>68</v>
      </c>
      <c r="C34" s="4" t="s">
        <v>69</v>
      </c>
      <c r="D34" s="4" t="s">
        <v>70</v>
      </c>
      <c r="E34" s="4" t="s">
        <v>71</v>
      </c>
      <c r="F34" s="4" t="s">
        <v>196</v>
      </c>
      <c r="G34" s="4" t="s">
        <v>73</v>
      </c>
      <c r="H34" s="4" t="s">
        <v>208</v>
      </c>
      <c r="I34" s="4" t="s">
        <v>209</v>
      </c>
      <c r="J34" s="4" t="s">
        <v>76</v>
      </c>
      <c r="K34" s="4" t="s">
        <v>210</v>
      </c>
      <c r="L34" s="4">
        <v>2</v>
      </c>
      <c r="M34" s="4" t="s">
        <v>78</v>
      </c>
      <c r="N34" s="4"/>
      <c r="O34" s="4"/>
      <c r="P34" s="4">
        <v>8</v>
      </c>
      <c r="Q34" s="4" t="s">
        <v>79</v>
      </c>
      <c r="R34" s="4">
        <v>1200</v>
      </c>
      <c r="S34" s="4">
        <v>50</v>
      </c>
      <c r="T34" s="4">
        <v>1200</v>
      </c>
      <c r="U34" s="4"/>
      <c r="V34" s="4"/>
      <c r="W34" s="4"/>
      <c r="X34" s="4"/>
      <c r="Y34" s="4"/>
      <c r="Z34" s="4" t="s">
        <v>101</v>
      </c>
      <c r="AA34" s="4"/>
      <c r="AB34" s="5">
        <v>480</v>
      </c>
      <c r="AC34" s="5">
        <f t="shared" si="0"/>
        <v>3840</v>
      </c>
      <c r="AD34" s="6">
        <v>0.75</v>
      </c>
      <c r="AE34" s="5">
        <f t="shared" si="1"/>
        <v>28.8</v>
      </c>
      <c r="AF34" s="4" t="s">
        <v>82</v>
      </c>
      <c r="AG34" s="4">
        <v>15</v>
      </c>
      <c r="AH34" s="1"/>
    </row>
    <row r="35" spans="1:34" ht="18" customHeight="1" x14ac:dyDescent="0.25">
      <c r="A35" s="7">
        <v>100030</v>
      </c>
      <c r="B35" s="7" t="s">
        <v>68</v>
      </c>
      <c r="C35" s="7" t="s">
        <v>69</v>
      </c>
      <c r="D35" s="7" t="s">
        <v>70</v>
      </c>
      <c r="E35" s="7" t="s">
        <v>71</v>
      </c>
      <c r="F35" s="7" t="s">
        <v>196</v>
      </c>
      <c r="G35" s="7" t="s">
        <v>73</v>
      </c>
      <c r="H35" s="7" t="s">
        <v>74</v>
      </c>
      <c r="I35" s="7" t="s">
        <v>75</v>
      </c>
      <c r="J35" s="7" t="s">
        <v>76</v>
      </c>
      <c r="K35" s="7" t="s">
        <v>211</v>
      </c>
      <c r="L35" s="7">
        <v>3</v>
      </c>
      <c r="M35" s="7" t="s">
        <v>100</v>
      </c>
      <c r="N35" s="7"/>
      <c r="O35" s="7"/>
      <c r="P35" s="7">
        <v>4</v>
      </c>
      <c r="Q35" s="7" t="s">
        <v>79</v>
      </c>
      <c r="R35" s="7">
        <v>520</v>
      </c>
      <c r="S35" s="7">
        <v>560</v>
      </c>
      <c r="T35" s="7">
        <v>820</v>
      </c>
      <c r="U35" s="7"/>
      <c r="V35" s="7"/>
      <c r="W35" s="7"/>
      <c r="X35" s="7"/>
      <c r="Y35" s="7"/>
      <c r="Z35" s="7" t="s">
        <v>81</v>
      </c>
      <c r="AA35" s="7"/>
      <c r="AB35" s="8">
        <v>420</v>
      </c>
      <c r="AC35" s="8">
        <f t="shared" si="0"/>
        <v>1680</v>
      </c>
      <c r="AD35" s="9">
        <v>0.5</v>
      </c>
      <c r="AE35" s="8">
        <f t="shared" si="1"/>
        <v>8.4</v>
      </c>
      <c r="AF35" s="7" t="s">
        <v>82</v>
      </c>
      <c r="AG35" s="7">
        <v>12</v>
      </c>
      <c r="AH35" s="1"/>
    </row>
    <row r="36" spans="1:34" ht="18" customHeight="1" x14ac:dyDescent="0.25">
      <c r="A36" s="4">
        <v>100031</v>
      </c>
      <c r="B36" s="4" t="s">
        <v>68</v>
      </c>
      <c r="C36" s="4" t="s">
        <v>69</v>
      </c>
      <c r="D36" s="4" t="s">
        <v>70</v>
      </c>
      <c r="E36" s="4" t="s">
        <v>71</v>
      </c>
      <c r="F36" s="4" t="s">
        <v>196</v>
      </c>
      <c r="G36" s="4" t="s">
        <v>124</v>
      </c>
      <c r="H36" s="4" t="s">
        <v>125</v>
      </c>
      <c r="I36" s="4" t="s">
        <v>212</v>
      </c>
      <c r="J36" s="4" t="s">
        <v>76</v>
      </c>
      <c r="K36" s="4" t="s">
        <v>213</v>
      </c>
      <c r="L36" s="4">
        <v>2</v>
      </c>
      <c r="M36" s="4" t="s">
        <v>78</v>
      </c>
      <c r="N36" s="4"/>
      <c r="O36" s="4"/>
      <c r="P36" s="4">
        <v>6</v>
      </c>
      <c r="Q36" s="4" t="s">
        <v>79</v>
      </c>
      <c r="R36" s="4">
        <v>320</v>
      </c>
      <c r="S36" s="4">
        <v>230</v>
      </c>
      <c r="T36" s="4">
        <v>18</v>
      </c>
      <c r="U36" s="4"/>
      <c r="V36" s="4" t="s">
        <v>128</v>
      </c>
      <c r="W36" s="4" t="s">
        <v>214</v>
      </c>
      <c r="X36" s="4"/>
      <c r="Y36" s="4"/>
      <c r="Z36" s="4" t="s">
        <v>95</v>
      </c>
      <c r="AA36" s="4"/>
      <c r="AB36" s="5">
        <v>2100</v>
      </c>
      <c r="AC36" s="5">
        <f t="shared" si="0"/>
        <v>12600</v>
      </c>
      <c r="AD36" s="6">
        <v>0.75</v>
      </c>
      <c r="AE36" s="5">
        <f t="shared" si="1"/>
        <v>94.5</v>
      </c>
      <c r="AF36" s="4" t="s">
        <v>96</v>
      </c>
      <c r="AG36" s="4">
        <v>5</v>
      </c>
      <c r="AH36" s="1"/>
    </row>
    <row r="37" spans="1:34" ht="18" customHeight="1" x14ac:dyDescent="0.25">
      <c r="A37" s="7">
        <v>100032</v>
      </c>
      <c r="B37" s="7" t="s">
        <v>68</v>
      </c>
      <c r="C37" s="7" t="s">
        <v>69</v>
      </c>
      <c r="D37" s="7" t="s">
        <v>70</v>
      </c>
      <c r="E37" s="7" t="s">
        <v>71</v>
      </c>
      <c r="F37" s="7" t="s">
        <v>215</v>
      </c>
      <c r="G37" s="7" t="s">
        <v>73</v>
      </c>
      <c r="H37" s="7" t="s">
        <v>102</v>
      </c>
      <c r="I37" s="7" t="s">
        <v>216</v>
      </c>
      <c r="J37" s="7" t="s">
        <v>76</v>
      </c>
      <c r="K37" s="7" t="s">
        <v>217</v>
      </c>
      <c r="L37" s="7">
        <v>3</v>
      </c>
      <c r="M37" s="7" t="s">
        <v>100</v>
      </c>
      <c r="N37" s="7"/>
      <c r="O37" s="7"/>
      <c r="P37" s="7">
        <v>6</v>
      </c>
      <c r="Q37" s="7" t="s">
        <v>79</v>
      </c>
      <c r="R37" s="7">
        <v>900</v>
      </c>
      <c r="S37" s="7">
        <v>380</v>
      </c>
      <c r="T37" s="7">
        <v>1980</v>
      </c>
      <c r="U37" s="7"/>
      <c r="V37" s="7"/>
      <c r="W37" s="7"/>
      <c r="X37" s="7"/>
      <c r="Y37" s="7"/>
      <c r="Z37" s="7" t="s">
        <v>105</v>
      </c>
      <c r="AA37" s="7"/>
      <c r="AB37" s="8">
        <v>620</v>
      </c>
      <c r="AC37" s="8">
        <f t="shared" si="0"/>
        <v>3720</v>
      </c>
      <c r="AD37" s="9">
        <v>0.5</v>
      </c>
      <c r="AE37" s="8">
        <f t="shared" si="1"/>
        <v>18.600000000000001</v>
      </c>
      <c r="AF37" s="7" t="s">
        <v>82</v>
      </c>
      <c r="AG37" s="7">
        <v>20</v>
      </c>
      <c r="AH37" s="1"/>
    </row>
    <row r="38" spans="1:34" ht="18" customHeight="1" x14ac:dyDescent="0.25">
      <c r="A38" s="4">
        <v>100033</v>
      </c>
      <c r="B38" s="4" t="s">
        <v>68</v>
      </c>
      <c r="C38" s="4" t="s">
        <v>69</v>
      </c>
      <c r="D38" s="4" t="s">
        <v>70</v>
      </c>
      <c r="E38" s="4" t="s">
        <v>71</v>
      </c>
      <c r="F38" s="4" t="s">
        <v>215</v>
      </c>
      <c r="G38" s="4" t="s">
        <v>73</v>
      </c>
      <c r="H38" s="4" t="s">
        <v>102</v>
      </c>
      <c r="I38" s="4" t="s">
        <v>218</v>
      </c>
      <c r="J38" s="4" t="s">
        <v>219</v>
      </c>
      <c r="K38" s="4" t="s">
        <v>220</v>
      </c>
      <c r="L38" s="4">
        <v>4</v>
      </c>
      <c r="M38" s="4" t="s">
        <v>221</v>
      </c>
      <c r="N38" s="4"/>
      <c r="O38" s="4"/>
      <c r="P38" s="4">
        <v>3</v>
      </c>
      <c r="Q38" s="4" t="s">
        <v>79</v>
      </c>
      <c r="R38" s="4">
        <v>900</v>
      </c>
      <c r="S38" s="4">
        <v>450</v>
      </c>
      <c r="T38" s="4">
        <v>1800</v>
      </c>
      <c r="U38" s="4"/>
      <c r="V38" s="4" t="s">
        <v>119</v>
      </c>
      <c r="W38" s="4"/>
      <c r="X38" s="4"/>
      <c r="Y38" s="4"/>
      <c r="Z38" s="4" t="s">
        <v>222</v>
      </c>
      <c r="AA38" s="4" t="s">
        <v>223</v>
      </c>
      <c r="AB38" s="5">
        <v>650</v>
      </c>
      <c r="AC38" s="5">
        <f t="shared" si="0"/>
        <v>1950</v>
      </c>
      <c r="AD38" s="6">
        <v>0.25</v>
      </c>
      <c r="AE38" s="5">
        <f t="shared" si="1"/>
        <v>4.875</v>
      </c>
      <c r="AF38" s="4" t="s">
        <v>82</v>
      </c>
      <c r="AG38" s="4">
        <v>20</v>
      </c>
      <c r="AH38" s="1"/>
    </row>
    <row r="39" spans="1:34" ht="18" customHeight="1" x14ac:dyDescent="0.25">
      <c r="A39" s="7">
        <v>100034</v>
      </c>
      <c r="B39" s="7" t="s">
        <v>68</v>
      </c>
      <c r="C39" s="7" t="s">
        <v>69</v>
      </c>
      <c r="D39" s="7" t="s">
        <v>70</v>
      </c>
      <c r="E39" s="7" t="s">
        <v>71</v>
      </c>
      <c r="F39" s="7" t="s">
        <v>224</v>
      </c>
      <c r="G39" s="7" t="s">
        <v>73</v>
      </c>
      <c r="H39" s="7" t="s">
        <v>74</v>
      </c>
      <c r="I39" s="7" t="s">
        <v>97</v>
      </c>
      <c r="J39" s="7" t="s">
        <v>225</v>
      </c>
      <c r="K39" s="7" t="s">
        <v>226</v>
      </c>
      <c r="L39" s="7">
        <v>2</v>
      </c>
      <c r="M39" s="7" t="s">
        <v>78</v>
      </c>
      <c r="N39" s="7"/>
      <c r="O39" s="7"/>
      <c r="P39" s="7">
        <v>2</v>
      </c>
      <c r="Q39" s="7" t="s">
        <v>79</v>
      </c>
      <c r="R39" s="7">
        <v>1600</v>
      </c>
      <c r="S39" s="7">
        <v>850</v>
      </c>
      <c r="T39" s="7">
        <v>780</v>
      </c>
      <c r="U39" s="7"/>
      <c r="V39" s="7"/>
      <c r="W39" s="7"/>
      <c r="X39" s="7"/>
      <c r="Y39" s="7"/>
      <c r="Z39" s="7" t="s">
        <v>227</v>
      </c>
      <c r="AA39" s="7"/>
      <c r="AB39" s="8">
        <v>1900</v>
      </c>
      <c r="AC39" s="8">
        <f t="shared" si="0"/>
        <v>3800</v>
      </c>
      <c r="AD39" s="9">
        <v>0.75</v>
      </c>
      <c r="AE39" s="8">
        <f t="shared" si="1"/>
        <v>28.5</v>
      </c>
      <c r="AF39" s="7" t="s">
        <v>82</v>
      </c>
      <c r="AG39" s="7">
        <v>12</v>
      </c>
      <c r="AH39" s="1"/>
    </row>
    <row r="40" spans="1:34" ht="18" customHeight="1" x14ac:dyDescent="0.25">
      <c r="A40" s="4">
        <v>100035</v>
      </c>
      <c r="B40" s="4" t="s">
        <v>68</v>
      </c>
      <c r="C40" s="4" t="s">
        <v>69</v>
      </c>
      <c r="D40" s="4" t="s">
        <v>70</v>
      </c>
      <c r="E40" s="4" t="s">
        <v>71</v>
      </c>
      <c r="F40" s="4" t="s">
        <v>224</v>
      </c>
      <c r="G40" s="4" t="s">
        <v>73</v>
      </c>
      <c r="H40" s="4" t="s">
        <v>74</v>
      </c>
      <c r="I40" s="4" t="s">
        <v>97</v>
      </c>
      <c r="J40" s="4" t="s">
        <v>228</v>
      </c>
      <c r="K40" s="4" t="s">
        <v>229</v>
      </c>
      <c r="L40" s="4">
        <v>2</v>
      </c>
      <c r="M40" s="4" t="s">
        <v>78</v>
      </c>
      <c r="N40" s="4"/>
      <c r="O40" s="4"/>
      <c r="P40" s="4">
        <v>2</v>
      </c>
      <c r="Q40" s="4" t="s">
        <v>79</v>
      </c>
      <c r="R40" s="4">
        <v>900</v>
      </c>
      <c r="S40" s="4">
        <v>850</v>
      </c>
      <c r="T40" s="4">
        <v>780</v>
      </c>
      <c r="U40" s="4"/>
      <c r="V40" s="4"/>
      <c r="W40" s="4"/>
      <c r="X40" s="4"/>
      <c r="Y40" s="4"/>
      <c r="Z40" s="4" t="s">
        <v>227</v>
      </c>
      <c r="AA40" s="4"/>
      <c r="AB40" s="5">
        <v>1100</v>
      </c>
      <c r="AC40" s="5">
        <f t="shared" si="0"/>
        <v>2200</v>
      </c>
      <c r="AD40" s="6">
        <v>0.75</v>
      </c>
      <c r="AE40" s="5">
        <f t="shared" si="1"/>
        <v>16.5</v>
      </c>
      <c r="AF40" s="4" t="s">
        <v>82</v>
      </c>
      <c r="AG40" s="4">
        <v>12</v>
      </c>
      <c r="AH40" s="1"/>
    </row>
    <row r="41" spans="1:34" ht="18" customHeight="1" x14ac:dyDescent="0.25">
      <c r="A41" s="7">
        <v>100036</v>
      </c>
      <c r="B41" s="7" t="s">
        <v>68</v>
      </c>
      <c r="C41" s="7" t="s">
        <v>69</v>
      </c>
      <c r="D41" s="7" t="s">
        <v>70</v>
      </c>
      <c r="E41" s="7" t="s">
        <v>71</v>
      </c>
      <c r="F41" s="7" t="s">
        <v>224</v>
      </c>
      <c r="G41" s="7" t="s">
        <v>88</v>
      </c>
      <c r="H41" s="7" t="s">
        <v>89</v>
      </c>
      <c r="I41" s="7" t="s">
        <v>230</v>
      </c>
      <c r="J41" s="7" t="s">
        <v>76</v>
      </c>
      <c r="K41" s="7" t="s">
        <v>231</v>
      </c>
      <c r="L41" s="7">
        <v>2</v>
      </c>
      <c r="M41" s="7" t="s">
        <v>78</v>
      </c>
      <c r="N41" s="7"/>
      <c r="O41" s="7"/>
      <c r="P41" s="7">
        <v>1</v>
      </c>
      <c r="Q41" s="7" t="s">
        <v>79</v>
      </c>
      <c r="R41" s="7"/>
      <c r="S41" s="7"/>
      <c r="T41" s="7"/>
      <c r="U41" s="7">
        <v>55</v>
      </c>
      <c r="V41" s="7" t="s">
        <v>92</v>
      </c>
      <c r="W41" s="7" t="s">
        <v>232</v>
      </c>
      <c r="X41" s="7" t="s">
        <v>233</v>
      </c>
      <c r="Y41" s="7"/>
      <c r="Z41" s="7" t="s">
        <v>95</v>
      </c>
      <c r="AA41" s="7"/>
      <c r="AB41" s="8">
        <v>2800</v>
      </c>
      <c r="AC41" s="8">
        <f t="shared" si="0"/>
        <v>2800</v>
      </c>
      <c r="AD41" s="9">
        <v>0.75</v>
      </c>
      <c r="AE41" s="8">
        <f t="shared" si="1"/>
        <v>21</v>
      </c>
      <c r="AF41" s="7" t="s">
        <v>96</v>
      </c>
      <c r="AG41" s="7">
        <v>8</v>
      </c>
      <c r="AH41" s="1"/>
    </row>
    <row r="42" spans="1:34" ht="18" customHeight="1" x14ac:dyDescent="0.25">
      <c r="A42" s="4">
        <v>100037</v>
      </c>
      <c r="B42" s="4" t="s">
        <v>68</v>
      </c>
      <c r="C42" s="4" t="s">
        <v>69</v>
      </c>
      <c r="D42" s="4" t="s">
        <v>70</v>
      </c>
      <c r="E42" s="4" t="s">
        <v>71</v>
      </c>
      <c r="F42" s="4" t="s">
        <v>224</v>
      </c>
      <c r="G42" s="4" t="s">
        <v>73</v>
      </c>
      <c r="H42" s="4" t="s">
        <v>234</v>
      </c>
      <c r="I42" s="4" t="s">
        <v>235</v>
      </c>
      <c r="J42" s="4" t="s">
        <v>76</v>
      </c>
      <c r="K42" s="4" t="s">
        <v>236</v>
      </c>
      <c r="L42" s="4">
        <v>2</v>
      </c>
      <c r="M42" s="4" t="s">
        <v>78</v>
      </c>
      <c r="N42" s="4"/>
      <c r="O42" s="4"/>
      <c r="P42" s="4">
        <v>4</v>
      </c>
      <c r="Q42" s="4" t="s">
        <v>79</v>
      </c>
      <c r="R42" s="4">
        <v>600</v>
      </c>
      <c r="S42" s="4">
        <v>50</v>
      </c>
      <c r="T42" s="4">
        <v>800</v>
      </c>
      <c r="U42" s="4"/>
      <c r="V42" s="4"/>
      <c r="W42" s="4"/>
      <c r="X42" s="4"/>
      <c r="Y42" s="4"/>
      <c r="Z42" s="4" t="s">
        <v>237</v>
      </c>
      <c r="AA42" s="4"/>
      <c r="AB42" s="5">
        <v>350</v>
      </c>
      <c r="AC42" s="5">
        <f t="shared" si="0"/>
        <v>1400</v>
      </c>
      <c r="AD42" s="6">
        <v>0.75</v>
      </c>
      <c r="AE42" s="5">
        <f t="shared" si="1"/>
        <v>10.5</v>
      </c>
      <c r="AF42" s="4" t="s">
        <v>82</v>
      </c>
      <c r="AG42" s="4">
        <v>20</v>
      </c>
      <c r="AH42" s="1"/>
    </row>
    <row r="43" spans="1:34" ht="18" customHeight="1" x14ac:dyDescent="0.25">
      <c r="A43" s="7">
        <v>100038</v>
      </c>
      <c r="B43" s="7" t="s">
        <v>68</v>
      </c>
      <c r="C43" s="7" t="s">
        <v>69</v>
      </c>
      <c r="D43" s="7" t="s">
        <v>70</v>
      </c>
      <c r="E43" s="7" t="s">
        <v>71</v>
      </c>
      <c r="F43" s="7" t="s">
        <v>196</v>
      </c>
      <c r="G43" s="7" t="s">
        <v>238</v>
      </c>
      <c r="H43" s="7" t="s">
        <v>239</v>
      </c>
      <c r="I43" s="7" t="s">
        <v>240</v>
      </c>
      <c r="J43" s="7" t="s">
        <v>76</v>
      </c>
      <c r="K43" s="7" t="s">
        <v>241</v>
      </c>
      <c r="L43" s="7">
        <v>4</v>
      </c>
      <c r="M43" s="7" t="s">
        <v>221</v>
      </c>
      <c r="N43" s="7"/>
      <c r="O43" s="7"/>
      <c r="P43" s="7">
        <v>1</v>
      </c>
      <c r="Q43" s="7" t="s">
        <v>79</v>
      </c>
      <c r="R43" s="7">
        <v>360</v>
      </c>
      <c r="S43" s="7">
        <v>230</v>
      </c>
      <c r="T43" s="7">
        <v>580</v>
      </c>
      <c r="U43" s="7"/>
      <c r="V43" s="7" t="s">
        <v>242</v>
      </c>
      <c r="W43" s="7" t="s">
        <v>243</v>
      </c>
      <c r="X43" s="7" t="s">
        <v>244</v>
      </c>
      <c r="Y43" s="7"/>
      <c r="Z43" s="7" t="s">
        <v>245</v>
      </c>
      <c r="AA43" s="7"/>
      <c r="AB43" s="8">
        <v>520</v>
      </c>
      <c r="AC43" s="8">
        <f t="shared" si="0"/>
        <v>520</v>
      </c>
      <c r="AD43" s="9">
        <v>0.25</v>
      </c>
      <c r="AE43" s="8">
        <f t="shared" si="1"/>
        <v>1.3</v>
      </c>
      <c r="AF43" s="7" t="s">
        <v>96</v>
      </c>
      <c r="AG43" s="7">
        <v>10</v>
      </c>
      <c r="AH43" s="1"/>
    </row>
    <row r="44" spans="1:3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</row>
    <row r="45" spans="1:3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</row>
    <row r="46" spans="1:3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</row>
    <row r="47" spans="1:3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</row>
    <row r="48" spans="1:3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</row>
  </sheetData>
  <autoFilter ref="A5:AG43" xr:uid="{00000000-0009-0000-0000-000000000000}"/>
  <mergeCells count="2">
    <mergeCell ref="A2:AG2"/>
    <mergeCell ref="A1:A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B97E1-10E4-48F5-A945-BE1466385E9A}">
  <dimension ref="A1:AG258"/>
  <sheetViews>
    <sheetView tabSelected="1" workbookViewId="0">
      <selection activeCell="J2" sqref="J2"/>
    </sheetView>
  </sheetViews>
  <sheetFormatPr defaultRowHeight="15" x14ac:dyDescent="0.25"/>
  <cols>
    <col min="1" max="1" width="9.140625" style="10"/>
    <col min="2" max="2" width="17.28515625" style="10" bestFit="1" customWidth="1"/>
    <col min="3" max="3" width="14.140625" style="10" bestFit="1" customWidth="1"/>
    <col min="4" max="4" width="10.42578125" style="10" bestFit="1" customWidth="1"/>
    <col min="5" max="5" width="7.5703125" style="10" bestFit="1" customWidth="1"/>
    <col min="6" max="6" width="14.5703125" style="10" bestFit="1" customWidth="1"/>
    <col min="7" max="8" width="9.140625" style="10"/>
    <col min="9" max="9" width="33.85546875" style="10" bestFit="1" customWidth="1"/>
    <col min="10" max="10" width="20" style="10" bestFit="1" customWidth="1"/>
    <col min="11" max="11" width="51.140625" style="10" bestFit="1" customWidth="1"/>
    <col min="12" max="17" width="9.140625" style="10"/>
    <col min="18" max="20" width="0" style="10" hidden="1" customWidth="1"/>
    <col min="21" max="21" width="21" style="10" bestFit="1" customWidth="1"/>
    <col min="22" max="16384" width="9.140625" style="10"/>
  </cols>
  <sheetData>
    <row r="1" spans="1:33" x14ac:dyDescent="0.25">
      <c r="A1" s="10" t="s">
        <v>35</v>
      </c>
      <c r="B1" s="16" t="s">
        <v>36</v>
      </c>
      <c r="C1" s="16" t="s">
        <v>37</v>
      </c>
      <c r="D1" s="16" t="s">
        <v>38</v>
      </c>
      <c r="E1" s="16" t="s">
        <v>39</v>
      </c>
      <c r="F1" s="16" t="s">
        <v>40</v>
      </c>
      <c r="G1" s="14" t="s">
        <v>41</v>
      </c>
      <c r="H1" s="14" t="s">
        <v>42</v>
      </c>
      <c r="I1" s="14" t="s">
        <v>43</v>
      </c>
      <c r="J1" s="14" t="s">
        <v>44</v>
      </c>
      <c r="K1" s="17" t="s">
        <v>45</v>
      </c>
      <c r="L1" s="10" t="s">
        <v>46</v>
      </c>
      <c r="M1" s="10" t="s">
        <v>47</v>
      </c>
      <c r="N1" s="10" t="s">
        <v>48</v>
      </c>
      <c r="O1" s="10" t="s">
        <v>49</v>
      </c>
      <c r="P1" s="10" t="s">
        <v>50</v>
      </c>
      <c r="Q1" s="10" t="s">
        <v>51</v>
      </c>
      <c r="R1" s="10" t="s">
        <v>52</v>
      </c>
      <c r="S1" s="10" t="s">
        <v>53</v>
      </c>
      <c r="T1" s="10" t="s">
        <v>54</v>
      </c>
      <c r="U1" s="10" t="s">
        <v>55</v>
      </c>
      <c r="V1" s="14" t="s">
        <v>56</v>
      </c>
      <c r="W1" s="14" t="s">
        <v>57</v>
      </c>
      <c r="X1" s="10" t="s">
        <v>58</v>
      </c>
      <c r="Y1" s="10" t="s">
        <v>59</v>
      </c>
      <c r="Z1" s="10" t="s">
        <v>60</v>
      </c>
      <c r="AA1" s="10" t="s">
        <v>61</v>
      </c>
      <c r="AB1" s="14" t="s">
        <v>62</v>
      </c>
      <c r="AC1" s="10" t="s">
        <v>63</v>
      </c>
      <c r="AD1" s="15" t="s">
        <v>64</v>
      </c>
      <c r="AE1" s="10" t="s">
        <v>65</v>
      </c>
      <c r="AF1" s="10" t="s">
        <v>66</v>
      </c>
      <c r="AG1" s="14" t="s">
        <v>67</v>
      </c>
    </row>
    <row r="2" spans="1:33" x14ac:dyDescent="0.25">
      <c r="G2" s="10" t="s">
        <v>73</v>
      </c>
      <c r="H2" s="10" t="s">
        <v>74</v>
      </c>
      <c r="I2" s="10" t="s">
        <v>111</v>
      </c>
      <c r="J2" s="10" t="s">
        <v>76</v>
      </c>
      <c r="K2" s="10" t="s">
        <v>246</v>
      </c>
      <c r="L2" s="10">
        <v>2</v>
      </c>
      <c r="M2" s="10" t="s">
        <v>78</v>
      </c>
      <c r="P2" s="10">
        <v>1</v>
      </c>
      <c r="Q2" s="10" t="s">
        <v>79</v>
      </c>
      <c r="R2" s="10">
        <v>670</v>
      </c>
      <c r="S2" s="10">
        <v>640</v>
      </c>
      <c r="T2" s="10">
        <v>920</v>
      </c>
      <c r="V2" s="10" t="s">
        <v>113</v>
      </c>
      <c r="W2" s="10" t="s">
        <v>114</v>
      </c>
      <c r="Z2" s="10" t="s">
        <v>115</v>
      </c>
      <c r="AD2" s="10">
        <v>0.75</v>
      </c>
      <c r="AF2" s="10" t="s">
        <v>82</v>
      </c>
      <c r="AG2" s="10">
        <v>12</v>
      </c>
    </row>
    <row r="3" spans="1:33" x14ac:dyDescent="0.25">
      <c r="G3" s="10" t="s">
        <v>73</v>
      </c>
      <c r="H3" s="10" t="s">
        <v>74</v>
      </c>
      <c r="I3" s="10" t="s">
        <v>111</v>
      </c>
      <c r="J3" s="10" t="s">
        <v>76</v>
      </c>
      <c r="K3" s="10" t="s">
        <v>247</v>
      </c>
      <c r="L3" s="10">
        <v>2</v>
      </c>
      <c r="M3" s="10" t="s">
        <v>78</v>
      </c>
      <c r="P3" s="10">
        <v>1</v>
      </c>
      <c r="Q3" s="10" t="s">
        <v>79</v>
      </c>
      <c r="R3" s="10">
        <v>650</v>
      </c>
      <c r="S3" s="10">
        <v>620</v>
      </c>
      <c r="T3" s="10">
        <v>900</v>
      </c>
      <c r="Z3" s="10" t="s">
        <v>115</v>
      </c>
      <c r="AD3" s="10">
        <v>0.75</v>
      </c>
      <c r="AF3" s="10" t="s">
        <v>82</v>
      </c>
      <c r="AG3" s="10">
        <v>12</v>
      </c>
    </row>
    <row r="4" spans="1:33" x14ac:dyDescent="0.25">
      <c r="G4" s="10" t="s">
        <v>73</v>
      </c>
      <c r="H4" s="10" t="s">
        <v>74</v>
      </c>
      <c r="I4" s="10" t="s">
        <v>111</v>
      </c>
      <c r="J4" s="10" t="s">
        <v>76</v>
      </c>
      <c r="K4" s="10" t="s">
        <v>248</v>
      </c>
      <c r="L4" s="10">
        <v>2</v>
      </c>
      <c r="M4" s="10" t="s">
        <v>78</v>
      </c>
      <c r="P4" s="10">
        <v>1</v>
      </c>
      <c r="Q4" s="10" t="s">
        <v>79</v>
      </c>
      <c r="R4" s="10">
        <v>700</v>
      </c>
      <c r="S4" s="10">
        <v>700</v>
      </c>
      <c r="T4" s="10">
        <v>1200</v>
      </c>
      <c r="Z4" s="10" t="s">
        <v>249</v>
      </c>
      <c r="AD4" s="10">
        <v>0.75</v>
      </c>
      <c r="AF4" s="10" t="s">
        <v>82</v>
      </c>
      <c r="AG4" s="10">
        <v>12</v>
      </c>
    </row>
    <row r="5" spans="1:33" x14ac:dyDescent="0.25">
      <c r="G5" s="10" t="s">
        <v>73</v>
      </c>
      <c r="H5" s="10" t="s">
        <v>74</v>
      </c>
      <c r="I5" s="10" t="s">
        <v>111</v>
      </c>
      <c r="J5" s="10" t="s">
        <v>76</v>
      </c>
      <c r="K5" s="10" t="s">
        <v>250</v>
      </c>
      <c r="L5" s="10">
        <v>3</v>
      </c>
      <c r="M5" s="10" t="s">
        <v>100</v>
      </c>
      <c r="P5" s="10">
        <v>1</v>
      </c>
      <c r="Q5" s="10" t="s">
        <v>79</v>
      </c>
      <c r="R5" s="10">
        <v>600</v>
      </c>
      <c r="S5" s="10">
        <v>580</v>
      </c>
      <c r="T5" s="10">
        <v>860</v>
      </c>
      <c r="Z5" s="10" t="s">
        <v>101</v>
      </c>
      <c r="AD5" s="10">
        <v>0.5</v>
      </c>
      <c r="AF5" s="10" t="s">
        <v>82</v>
      </c>
      <c r="AG5" s="10">
        <v>10</v>
      </c>
    </row>
    <row r="6" spans="1:33" x14ac:dyDescent="0.25">
      <c r="G6" s="10" t="s">
        <v>73</v>
      </c>
      <c r="H6" s="10" t="s">
        <v>74</v>
      </c>
      <c r="I6" s="10" t="s">
        <v>111</v>
      </c>
      <c r="J6" s="10" t="s">
        <v>76</v>
      </c>
      <c r="K6" s="10" t="s">
        <v>203</v>
      </c>
      <c r="L6" s="10">
        <v>2</v>
      </c>
      <c r="M6" s="10" t="s">
        <v>78</v>
      </c>
      <c r="P6" s="10">
        <v>1</v>
      </c>
      <c r="Q6" s="10" t="s">
        <v>79</v>
      </c>
      <c r="R6" s="10">
        <v>680</v>
      </c>
      <c r="S6" s="10">
        <v>650</v>
      </c>
      <c r="T6" s="10">
        <v>920</v>
      </c>
      <c r="V6" s="10" t="s">
        <v>204</v>
      </c>
      <c r="W6" s="10" t="s">
        <v>205</v>
      </c>
      <c r="Z6" s="10" t="s">
        <v>115</v>
      </c>
      <c r="AD6" s="10">
        <v>0.75</v>
      </c>
      <c r="AF6" s="10" t="s">
        <v>82</v>
      </c>
      <c r="AG6" s="10">
        <v>12</v>
      </c>
    </row>
    <row r="7" spans="1:33" x14ac:dyDescent="0.25">
      <c r="G7" s="10" t="s">
        <v>73</v>
      </c>
      <c r="H7" s="10" t="s">
        <v>74</v>
      </c>
      <c r="I7" s="10" t="s">
        <v>75</v>
      </c>
      <c r="J7" s="10" t="s">
        <v>76</v>
      </c>
      <c r="K7" s="10" t="s">
        <v>251</v>
      </c>
      <c r="L7" s="10">
        <v>2</v>
      </c>
      <c r="M7" s="10" t="s">
        <v>78</v>
      </c>
      <c r="P7" s="10">
        <v>1</v>
      </c>
      <c r="Q7" s="10" t="s">
        <v>79</v>
      </c>
      <c r="R7" s="10">
        <v>520</v>
      </c>
      <c r="S7" s="10">
        <v>560</v>
      </c>
      <c r="T7" s="10">
        <v>820</v>
      </c>
      <c r="Z7" s="10" t="s">
        <v>81</v>
      </c>
      <c r="AD7" s="10">
        <v>0.75</v>
      </c>
      <c r="AF7" s="10" t="s">
        <v>82</v>
      </c>
      <c r="AG7" s="10">
        <v>12</v>
      </c>
    </row>
    <row r="8" spans="1:33" x14ac:dyDescent="0.25">
      <c r="G8" s="10" t="s">
        <v>73</v>
      </c>
      <c r="H8" s="10" t="s">
        <v>74</v>
      </c>
      <c r="I8" s="10" t="s">
        <v>75</v>
      </c>
      <c r="J8" s="10" t="s">
        <v>76</v>
      </c>
      <c r="K8" s="10" t="s">
        <v>252</v>
      </c>
      <c r="L8" s="10">
        <v>2</v>
      </c>
      <c r="M8" s="10" t="s">
        <v>78</v>
      </c>
      <c r="P8" s="10">
        <v>1</v>
      </c>
      <c r="Q8" s="10" t="s">
        <v>79</v>
      </c>
      <c r="R8" s="10">
        <v>540</v>
      </c>
      <c r="S8" s="10">
        <v>580</v>
      </c>
      <c r="T8" s="10">
        <v>820</v>
      </c>
      <c r="Z8" s="10" t="s">
        <v>253</v>
      </c>
      <c r="AD8" s="10">
        <v>0.75</v>
      </c>
      <c r="AF8" s="10" t="s">
        <v>82</v>
      </c>
      <c r="AG8" s="10">
        <v>12</v>
      </c>
    </row>
    <row r="9" spans="1:33" x14ac:dyDescent="0.25">
      <c r="G9" s="10" t="s">
        <v>73</v>
      </c>
      <c r="H9" s="10" t="s">
        <v>74</v>
      </c>
      <c r="I9" s="10" t="s">
        <v>75</v>
      </c>
      <c r="J9" s="10" t="s">
        <v>76</v>
      </c>
      <c r="K9" s="10" t="s">
        <v>254</v>
      </c>
      <c r="L9" s="10">
        <v>2</v>
      </c>
      <c r="M9" s="10" t="s">
        <v>78</v>
      </c>
      <c r="P9" s="10">
        <v>1</v>
      </c>
      <c r="Q9" s="10" t="s">
        <v>79</v>
      </c>
      <c r="R9" s="10">
        <v>520</v>
      </c>
      <c r="S9" s="10">
        <v>540</v>
      </c>
      <c r="T9" s="10">
        <v>780</v>
      </c>
      <c r="Z9" s="10" t="s">
        <v>105</v>
      </c>
      <c r="AD9" s="10">
        <v>0.75</v>
      </c>
      <c r="AF9" s="10" t="s">
        <v>82</v>
      </c>
      <c r="AG9" s="10">
        <v>10</v>
      </c>
    </row>
    <row r="10" spans="1:33" x14ac:dyDescent="0.25">
      <c r="G10" s="10" t="s">
        <v>73</v>
      </c>
      <c r="H10" s="10" t="s">
        <v>74</v>
      </c>
      <c r="I10" s="10" t="s">
        <v>146</v>
      </c>
      <c r="J10" s="10" t="s">
        <v>76</v>
      </c>
      <c r="K10" s="10" t="s">
        <v>255</v>
      </c>
      <c r="L10" s="10">
        <v>2</v>
      </c>
      <c r="M10" s="10" t="s">
        <v>78</v>
      </c>
      <c r="P10" s="10">
        <v>1</v>
      </c>
      <c r="Q10" s="10" t="s">
        <v>79</v>
      </c>
      <c r="R10" s="10">
        <v>550</v>
      </c>
      <c r="S10" s="10">
        <v>590</v>
      </c>
      <c r="T10" s="10">
        <v>1150</v>
      </c>
      <c r="V10" s="10" t="s">
        <v>80</v>
      </c>
      <c r="W10" s="10" t="s">
        <v>148</v>
      </c>
      <c r="Z10" s="10" t="s">
        <v>115</v>
      </c>
      <c r="AD10" s="10">
        <v>0.75</v>
      </c>
      <c r="AF10" s="10" t="s">
        <v>82</v>
      </c>
      <c r="AG10" s="10">
        <v>12</v>
      </c>
    </row>
    <row r="11" spans="1:33" x14ac:dyDescent="0.25">
      <c r="G11" s="10" t="s">
        <v>73</v>
      </c>
      <c r="H11" s="10" t="s">
        <v>74</v>
      </c>
      <c r="I11" s="10" t="s">
        <v>146</v>
      </c>
      <c r="J11" s="10" t="s">
        <v>76</v>
      </c>
      <c r="K11" s="10" t="s">
        <v>256</v>
      </c>
      <c r="L11" s="10">
        <v>2</v>
      </c>
      <c r="M11" s="10" t="s">
        <v>78</v>
      </c>
      <c r="P11" s="10">
        <v>1</v>
      </c>
      <c r="Q11" s="10" t="s">
        <v>79</v>
      </c>
      <c r="R11" s="10">
        <v>600</v>
      </c>
      <c r="S11" s="10">
        <v>580</v>
      </c>
      <c r="T11" s="10">
        <v>950</v>
      </c>
      <c r="Z11" s="10" t="s">
        <v>81</v>
      </c>
      <c r="AD11" s="10">
        <v>0.75</v>
      </c>
      <c r="AF11" s="10" t="s">
        <v>82</v>
      </c>
      <c r="AG11" s="10">
        <v>12</v>
      </c>
    </row>
    <row r="12" spans="1:33" x14ac:dyDescent="0.25">
      <c r="G12" s="10" t="s">
        <v>73</v>
      </c>
      <c r="H12" s="10" t="s">
        <v>74</v>
      </c>
      <c r="I12" s="10" t="s">
        <v>97</v>
      </c>
      <c r="J12" s="10" t="s">
        <v>228</v>
      </c>
      <c r="K12" s="10" t="s">
        <v>257</v>
      </c>
      <c r="L12" s="10">
        <v>2</v>
      </c>
      <c r="M12" s="10" t="s">
        <v>78</v>
      </c>
      <c r="P12" s="10">
        <v>1</v>
      </c>
      <c r="Q12" s="10" t="s">
        <v>79</v>
      </c>
      <c r="R12" s="10">
        <v>900</v>
      </c>
      <c r="S12" s="10">
        <v>850</v>
      </c>
      <c r="T12" s="10">
        <v>780</v>
      </c>
      <c r="Z12" s="10" t="s">
        <v>227</v>
      </c>
      <c r="AD12" s="10">
        <v>0.75</v>
      </c>
      <c r="AF12" s="10" t="s">
        <v>82</v>
      </c>
      <c r="AG12" s="10">
        <v>12</v>
      </c>
    </row>
    <row r="13" spans="1:33" x14ac:dyDescent="0.25">
      <c r="G13" s="10" t="s">
        <v>73</v>
      </c>
      <c r="H13" s="10" t="s">
        <v>74</v>
      </c>
      <c r="I13" s="10" t="s">
        <v>97</v>
      </c>
      <c r="J13" s="10" t="s">
        <v>225</v>
      </c>
      <c r="K13" s="10" t="s">
        <v>258</v>
      </c>
      <c r="L13" s="10">
        <v>2</v>
      </c>
      <c r="M13" s="10" t="s">
        <v>78</v>
      </c>
      <c r="P13" s="10">
        <v>1</v>
      </c>
      <c r="Q13" s="10" t="s">
        <v>79</v>
      </c>
      <c r="R13" s="10">
        <v>1600</v>
      </c>
      <c r="S13" s="10">
        <v>850</v>
      </c>
      <c r="T13" s="10">
        <v>780</v>
      </c>
      <c r="Z13" s="10" t="s">
        <v>227</v>
      </c>
      <c r="AD13" s="10">
        <v>0.75</v>
      </c>
      <c r="AF13" s="10" t="s">
        <v>82</v>
      </c>
      <c r="AG13" s="10">
        <v>12</v>
      </c>
    </row>
    <row r="14" spans="1:33" x14ac:dyDescent="0.25">
      <c r="G14" s="10" t="s">
        <v>73</v>
      </c>
      <c r="H14" s="10" t="s">
        <v>74</v>
      </c>
      <c r="I14" s="10" t="s">
        <v>97</v>
      </c>
      <c r="J14" s="10" t="s">
        <v>98</v>
      </c>
      <c r="K14" s="10" t="s">
        <v>259</v>
      </c>
      <c r="L14" s="10">
        <v>2</v>
      </c>
      <c r="M14" s="10" t="s">
        <v>78</v>
      </c>
      <c r="P14" s="10">
        <v>1</v>
      </c>
      <c r="Q14" s="10" t="s">
        <v>79</v>
      </c>
      <c r="R14" s="10">
        <v>2100</v>
      </c>
      <c r="S14" s="10">
        <v>900</v>
      </c>
      <c r="T14" s="10">
        <v>800</v>
      </c>
      <c r="Z14" s="10" t="s">
        <v>101</v>
      </c>
      <c r="AD14" s="10">
        <v>0.75</v>
      </c>
      <c r="AF14" s="10" t="s">
        <v>82</v>
      </c>
      <c r="AG14" s="10">
        <v>12</v>
      </c>
    </row>
    <row r="15" spans="1:33" x14ac:dyDescent="0.25">
      <c r="G15" s="10" t="s">
        <v>73</v>
      </c>
      <c r="H15" s="10" t="s">
        <v>74</v>
      </c>
      <c r="I15" s="10" t="s">
        <v>194</v>
      </c>
      <c r="J15" s="10" t="s">
        <v>76</v>
      </c>
      <c r="K15" s="10" t="s">
        <v>195</v>
      </c>
      <c r="L15" s="10">
        <v>2</v>
      </c>
      <c r="M15" s="10" t="s">
        <v>78</v>
      </c>
      <c r="P15" s="10">
        <v>1</v>
      </c>
      <c r="Q15" s="10" t="s">
        <v>79</v>
      </c>
      <c r="R15" s="10">
        <v>420</v>
      </c>
      <c r="S15" s="10">
        <v>400</v>
      </c>
      <c r="T15" s="10">
        <v>770</v>
      </c>
      <c r="Z15" s="10" t="s">
        <v>81</v>
      </c>
      <c r="AD15" s="10">
        <v>0.75</v>
      </c>
      <c r="AF15" s="10" t="s">
        <v>82</v>
      </c>
      <c r="AG15" s="10">
        <v>12</v>
      </c>
    </row>
    <row r="16" spans="1:33" x14ac:dyDescent="0.25">
      <c r="G16" s="10" t="s">
        <v>73</v>
      </c>
      <c r="H16" s="10" t="s">
        <v>74</v>
      </c>
      <c r="I16" s="10" t="s">
        <v>194</v>
      </c>
      <c r="J16" s="10" t="s">
        <v>76</v>
      </c>
      <c r="K16" s="10" t="s">
        <v>260</v>
      </c>
      <c r="L16" s="10">
        <v>2</v>
      </c>
      <c r="M16" s="10" t="s">
        <v>78</v>
      </c>
      <c r="P16" s="10">
        <v>1</v>
      </c>
      <c r="Q16" s="10" t="s">
        <v>79</v>
      </c>
      <c r="R16" s="10">
        <v>380</v>
      </c>
      <c r="S16" s="10">
        <v>380</v>
      </c>
      <c r="T16" s="10">
        <v>760</v>
      </c>
      <c r="Z16" s="10" t="s">
        <v>261</v>
      </c>
      <c r="AD16" s="10">
        <v>0.75</v>
      </c>
      <c r="AF16" s="10" t="s">
        <v>82</v>
      </c>
      <c r="AG16" s="10">
        <v>12</v>
      </c>
    </row>
    <row r="17" spans="7:33" x14ac:dyDescent="0.25">
      <c r="G17" s="10" t="s">
        <v>73</v>
      </c>
      <c r="H17" s="10" t="s">
        <v>74</v>
      </c>
      <c r="I17" s="10" t="s">
        <v>262</v>
      </c>
      <c r="J17" s="10" t="s">
        <v>76</v>
      </c>
      <c r="K17" s="10" t="s">
        <v>263</v>
      </c>
      <c r="L17" s="10">
        <v>2</v>
      </c>
      <c r="M17" s="10" t="s">
        <v>78</v>
      </c>
      <c r="P17" s="10">
        <v>1</v>
      </c>
      <c r="Q17" s="10" t="s">
        <v>79</v>
      </c>
      <c r="R17" s="10">
        <v>520</v>
      </c>
      <c r="S17" s="10">
        <v>550</v>
      </c>
      <c r="T17" s="10">
        <v>840</v>
      </c>
      <c r="Z17" s="10" t="s">
        <v>264</v>
      </c>
      <c r="AD17" s="10">
        <v>0.75</v>
      </c>
      <c r="AF17" s="10" t="s">
        <v>82</v>
      </c>
      <c r="AG17" s="10">
        <v>10</v>
      </c>
    </row>
    <row r="18" spans="7:33" x14ac:dyDescent="0.25">
      <c r="G18" s="10" t="s">
        <v>73</v>
      </c>
      <c r="H18" s="10" t="s">
        <v>74</v>
      </c>
      <c r="I18" s="10" t="s">
        <v>265</v>
      </c>
      <c r="J18" s="10" t="s">
        <v>76</v>
      </c>
      <c r="K18" s="10" t="s">
        <v>266</v>
      </c>
      <c r="L18" s="10">
        <v>2</v>
      </c>
      <c r="M18" s="10" t="s">
        <v>78</v>
      </c>
      <c r="P18" s="10">
        <v>1</v>
      </c>
      <c r="Q18" s="10" t="s">
        <v>79</v>
      </c>
      <c r="R18" s="10">
        <v>520</v>
      </c>
      <c r="S18" s="10">
        <v>530</v>
      </c>
      <c r="T18" s="10">
        <v>820</v>
      </c>
      <c r="Z18" s="10" t="s">
        <v>105</v>
      </c>
      <c r="AD18" s="10">
        <v>0.75</v>
      </c>
      <c r="AF18" s="10" t="s">
        <v>82</v>
      </c>
      <c r="AG18" s="10">
        <v>10</v>
      </c>
    </row>
    <row r="19" spans="7:33" x14ac:dyDescent="0.25">
      <c r="G19" s="10" t="s">
        <v>73</v>
      </c>
      <c r="H19" s="10" t="s">
        <v>74</v>
      </c>
      <c r="I19" s="10" t="s">
        <v>267</v>
      </c>
      <c r="J19" s="10" t="s">
        <v>76</v>
      </c>
      <c r="K19" s="10" t="s">
        <v>268</v>
      </c>
      <c r="L19" s="10">
        <v>2</v>
      </c>
      <c r="M19" s="10" t="s">
        <v>78</v>
      </c>
      <c r="P19" s="10">
        <v>1</v>
      </c>
      <c r="Q19" s="10" t="s">
        <v>79</v>
      </c>
      <c r="R19" s="10">
        <v>600</v>
      </c>
      <c r="S19" s="10">
        <v>580</v>
      </c>
      <c r="T19" s="10">
        <v>1100</v>
      </c>
      <c r="Z19" s="10" t="s">
        <v>115</v>
      </c>
      <c r="AD19" s="10">
        <v>0.75</v>
      </c>
      <c r="AF19" s="10" t="s">
        <v>82</v>
      </c>
      <c r="AG19" s="10">
        <v>10</v>
      </c>
    </row>
    <row r="20" spans="7:33" x14ac:dyDescent="0.25">
      <c r="G20" s="10" t="s">
        <v>73</v>
      </c>
      <c r="H20" s="10" t="s">
        <v>74</v>
      </c>
      <c r="I20" s="10" t="s">
        <v>269</v>
      </c>
      <c r="J20" s="10" t="s">
        <v>76</v>
      </c>
      <c r="K20" s="10" t="s">
        <v>270</v>
      </c>
      <c r="L20" s="10">
        <v>2</v>
      </c>
      <c r="M20" s="10" t="s">
        <v>78</v>
      </c>
      <c r="P20" s="10">
        <v>1</v>
      </c>
      <c r="Q20" s="10" t="s">
        <v>79</v>
      </c>
      <c r="R20" s="10">
        <v>520</v>
      </c>
      <c r="S20" s="10">
        <v>480</v>
      </c>
      <c r="T20" s="10">
        <v>700</v>
      </c>
      <c r="Z20" s="10" t="s">
        <v>253</v>
      </c>
      <c r="AD20" s="10">
        <v>0.75</v>
      </c>
      <c r="AF20" s="10" t="s">
        <v>82</v>
      </c>
      <c r="AG20" s="10">
        <v>8</v>
      </c>
    </row>
    <row r="21" spans="7:33" x14ac:dyDescent="0.25">
      <c r="G21" s="10" t="s">
        <v>73</v>
      </c>
      <c r="H21" s="10" t="s">
        <v>74</v>
      </c>
      <c r="I21" s="10" t="s">
        <v>271</v>
      </c>
      <c r="J21" s="10" t="s">
        <v>76</v>
      </c>
      <c r="K21" s="10" t="s">
        <v>272</v>
      </c>
      <c r="L21" s="10">
        <v>2</v>
      </c>
      <c r="M21" s="10" t="s">
        <v>78</v>
      </c>
      <c r="P21" s="10">
        <v>1</v>
      </c>
      <c r="Q21" s="10" t="s">
        <v>79</v>
      </c>
      <c r="R21" s="10">
        <v>1500</v>
      </c>
      <c r="S21" s="10">
        <v>600</v>
      </c>
      <c r="T21" s="10">
        <v>450</v>
      </c>
      <c r="Z21" s="10" t="s">
        <v>81</v>
      </c>
      <c r="AD21" s="10">
        <v>0.75</v>
      </c>
      <c r="AF21" s="10" t="s">
        <v>82</v>
      </c>
      <c r="AG21" s="10">
        <v>15</v>
      </c>
    </row>
    <row r="22" spans="7:33" x14ac:dyDescent="0.25">
      <c r="G22" s="10" t="s">
        <v>73</v>
      </c>
      <c r="H22" s="10" t="s">
        <v>83</v>
      </c>
      <c r="I22" s="10" t="s">
        <v>108</v>
      </c>
      <c r="J22" s="10" t="s">
        <v>76</v>
      </c>
      <c r="K22" s="10" t="s">
        <v>109</v>
      </c>
      <c r="L22" s="10">
        <v>2</v>
      </c>
      <c r="M22" s="10" t="s">
        <v>78</v>
      </c>
      <c r="P22" s="10">
        <v>1</v>
      </c>
      <c r="Q22" s="10" t="s">
        <v>79</v>
      </c>
      <c r="R22" s="10">
        <v>1800</v>
      </c>
      <c r="S22" s="10">
        <v>750</v>
      </c>
      <c r="T22" s="10">
        <v>720</v>
      </c>
      <c r="Z22" s="10" t="s">
        <v>110</v>
      </c>
      <c r="AD22" s="10">
        <v>0.75</v>
      </c>
      <c r="AF22" s="10" t="s">
        <v>82</v>
      </c>
      <c r="AG22" s="10">
        <v>15</v>
      </c>
    </row>
    <row r="23" spans="7:33" x14ac:dyDescent="0.25">
      <c r="G23" s="10" t="s">
        <v>73</v>
      </c>
      <c r="H23" s="10" t="s">
        <v>83</v>
      </c>
      <c r="I23" s="10" t="s">
        <v>108</v>
      </c>
      <c r="J23" s="10" t="s">
        <v>76</v>
      </c>
      <c r="K23" s="10" t="s">
        <v>273</v>
      </c>
      <c r="L23" s="10">
        <v>2</v>
      </c>
      <c r="M23" s="10" t="s">
        <v>78</v>
      </c>
      <c r="P23" s="10">
        <v>1</v>
      </c>
      <c r="Q23" s="10" t="s">
        <v>79</v>
      </c>
      <c r="R23" s="10">
        <v>1500</v>
      </c>
      <c r="S23" s="10">
        <v>750</v>
      </c>
      <c r="T23" s="10">
        <v>720</v>
      </c>
      <c r="Z23" s="10" t="s">
        <v>105</v>
      </c>
      <c r="AD23" s="10">
        <v>0.75</v>
      </c>
      <c r="AF23" s="10" t="s">
        <v>82</v>
      </c>
      <c r="AG23" s="10">
        <v>15</v>
      </c>
    </row>
    <row r="24" spans="7:33" x14ac:dyDescent="0.25">
      <c r="G24" s="10" t="s">
        <v>73</v>
      </c>
      <c r="H24" s="10" t="s">
        <v>83</v>
      </c>
      <c r="I24" s="10" t="s">
        <v>108</v>
      </c>
      <c r="J24" s="10" t="s">
        <v>76</v>
      </c>
      <c r="K24" s="10" t="s">
        <v>274</v>
      </c>
      <c r="L24" s="10">
        <v>2</v>
      </c>
      <c r="M24" s="10" t="s">
        <v>78</v>
      </c>
      <c r="P24" s="10">
        <v>1</v>
      </c>
      <c r="Q24" s="10" t="s">
        <v>79</v>
      </c>
      <c r="R24" s="10">
        <v>1200</v>
      </c>
      <c r="S24" s="10">
        <v>600</v>
      </c>
      <c r="T24" s="10">
        <v>720</v>
      </c>
      <c r="Z24" s="10" t="s">
        <v>105</v>
      </c>
      <c r="AD24" s="10">
        <v>0.75</v>
      </c>
      <c r="AF24" s="10" t="s">
        <v>82</v>
      </c>
      <c r="AG24" s="10">
        <v>15</v>
      </c>
    </row>
    <row r="25" spans="7:33" x14ac:dyDescent="0.25">
      <c r="G25" s="10" t="s">
        <v>73</v>
      </c>
      <c r="H25" s="10" t="s">
        <v>83</v>
      </c>
      <c r="I25" s="10" t="s">
        <v>275</v>
      </c>
      <c r="J25" s="10" t="s">
        <v>76</v>
      </c>
      <c r="K25" s="10" t="s">
        <v>276</v>
      </c>
      <c r="L25" s="10">
        <v>2</v>
      </c>
      <c r="M25" s="10" t="s">
        <v>78</v>
      </c>
      <c r="P25" s="10">
        <v>1</v>
      </c>
      <c r="Q25" s="10" t="s">
        <v>79</v>
      </c>
      <c r="R25" s="10">
        <v>1800</v>
      </c>
      <c r="S25" s="10">
        <v>1800</v>
      </c>
      <c r="T25" s="10">
        <v>720</v>
      </c>
      <c r="Z25" s="10" t="s">
        <v>110</v>
      </c>
      <c r="AD25" s="10">
        <v>0.75</v>
      </c>
      <c r="AF25" s="10" t="s">
        <v>82</v>
      </c>
      <c r="AG25" s="10">
        <v>15</v>
      </c>
    </row>
    <row r="26" spans="7:33" x14ac:dyDescent="0.25">
      <c r="G26" s="10" t="s">
        <v>73</v>
      </c>
      <c r="H26" s="10" t="s">
        <v>83</v>
      </c>
      <c r="I26" s="10" t="s">
        <v>197</v>
      </c>
      <c r="J26" s="10" t="s">
        <v>198</v>
      </c>
      <c r="K26" s="10" t="s">
        <v>277</v>
      </c>
      <c r="L26" s="10">
        <v>2</v>
      </c>
      <c r="M26" s="10" t="s">
        <v>78</v>
      </c>
      <c r="P26" s="10">
        <v>1</v>
      </c>
      <c r="Q26" s="10" t="s">
        <v>79</v>
      </c>
      <c r="R26" s="10">
        <v>1600</v>
      </c>
      <c r="S26" s="10">
        <v>800</v>
      </c>
      <c r="T26" s="10">
        <v>650</v>
      </c>
      <c r="V26" s="10" t="s">
        <v>200</v>
      </c>
      <c r="W26" s="10" t="s">
        <v>201</v>
      </c>
      <c r="Z26" s="10" t="s">
        <v>105</v>
      </c>
      <c r="AA26" s="10" t="s">
        <v>278</v>
      </c>
      <c r="AD26" s="10">
        <v>0.75</v>
      </c>
      <c r="AF26" s="10" t="s">
        <v>82</v>
      </c>
      <c r="AG26" s="10">
        <v>15</v>
      </c>
    </row>
    <row r="27" spans="7:33" x14ac:dyDescent="0.25">
      <c r="G27" s="10" t="s">
        <v>73</v>
      </c>
      <c r="H27" s="10" t="s">
        <v>83</v>
      </c>
      <c r="I27" s="10" t="s">
        <v>197</v>
      </c>
      <c r="J27" s="10" t="s">
        <v>279</v>
      </c>
      <c r="K27" s="10" t="s">
        <v>280</v>
      </c>
      <c r="L27" s="10">
        <v>2</v>
      </c>
      <c r="M27" s="10" t="s">
        <v>78</v>
      </c>
      <c r="P27" s="10">
        <v>1</v>
      </c>
      <c r="Q27" s="10" t="s">
        <v>79</v>
      </c>
      <c r="R27" s="10">
        <v>1600</v>
      </c>
      <c r="S27" s="10">
        <v>800</v>
      </c>
      <c r="T27" s="10">
        <v>650</v>
      </c>
      <c r="Z27" s="10" t="s">
        <v>105</v>
      </c>
      <c r="AD27" s="10">
        <v>0.75</v>
      </c>
      <c r="AF27" s="10" t="s">
        <v>82</v>
      </c>
      <c r="AG27" s="10">
        <v>15</v>
      </c>
    </row>
    <row r="28" spans="7:33" x14ac:dyDescent="0.25">
      <c r="G28" s="10" t="s">
        <v>73</v>
      </c>
      <c r="H28" s="10" t="s">
        <v>83</v>
      </c>
      <c r="I28" s="10" t="s">
        <v>84</v>
      </c>
      <c r="J28" s="10" t="s">
        <v>76</v>
      </c>
      <c r="K28" s="10" t="s">
        <v>85</v>
      </c>
      <c r="L28" s="10">
        <v>2</v>
      </c>
      <c r="M28" s="10" t="s">
        <v>78</v>
      </c>
      <c r="P28" s="10">
        <v>1</v>
      </c>
      <c r="Q28" s="10" t="s">
        <v>79</v>
      </c>
      <c r="R28" s="10">
        <v>2400</v>
      </c>
      <c r="S28" s="10">
        <v>800</v>
      </c>
      <c r="T28" s="10">
        <v>1100</v>
      </c>
      <c r="V28" s="10" t="s">
        <v>86</v>
      </c>
      <c r="Z28" s="10" t="s">
        <v>87</v>
      </c>
      <c r="AD28" s="10">
        <v>0.75</v>
      </c>
      <c r="AF28" s="10" t="s">
        <v>82</v>
      </c>
      <c r="AG28" s="10">
        <v>15</v>
      </c>
    </row>
    <row r="29" spans="7:33" x14ac:dyDescent="0.25">
      <c r="G29" s="10" t="s">
        <v>73</v>
      </c>
      <c r="H29" s="10" t="s">
        <v>83</v>
      </c>
      <c r="I29" s="10" t="s">
        <v>84</v>
      </c>
      <c r="J29" s="10" t="s">
        <v>76</v>
      </c>
      <c r="K29" s="10" t="s">
        <v>281</v>
      </c>
      <c r="L29" s="10">
        <v>2</v>
      </c>
      <c r="M29" s="10" t="s">
        <v>78</v>
      </c>
      <c r="P29" s="10">
        <v>1</v>
      </c>
      <c r="Q29" s="10" t="s">
        <v>79</v>
      </c>
      <c r="R29" s="10">
        <v>1800</v>
      </c>
      <c r="S29" s="10">
        <v>700</v>
      </c>
      <c r="T29" s="10">
        <v>1050</v>
      </c>
      <c r="Z29" s="10" t="s">
        <v>87</v>
      </c>
      <c r="AD29" s="10">
        <v>0.75</v>
      </c>
      <c r="AF29" s="10" t="s">
        <v>82</v>
      </c>
      <c r="AG29" s="10">
        <v>15</v>
      </c>
    </row>
    <row r="30" spans="7:33" x14ac:dyDescent="0.25">
      <c r="G30" s="10" t="s">
        <v>73</v>
      </c>
      <c r="H30" s="10" t="s">
        <v>83</v>
      </c>
      <c r="I30" s="10" t="s">
        <v>282</v>
      </c>
      <c r="J30" s="10" t="s">
        <v>76</v>
      </c>
      <c r="K30" s="10" t="s">
        <v>283</v>
      </c>
      <c r="L30" s="10">
        <v>2</v>
      </c>
      <c r="M30" s="10" t="s">
        <v>78</v>
      </c>
      <c r="P30" s="10">
        <v>1</v>
      </c>
      <c r="Q30" s="10" t="s">
        <v>79</v>
      </c>
      <c r="R30" s="10">
        <v>3600</v>
      </c>
      <c r="S30" s="10">
        <v>1400</v>
      </c>
      <c r="T30" s="10">
        <v>720</v>
      </c>
      <c r="Z30" s="10" t="s">
        <v>105</v>
      </c>
      <c r="AD30" s="10">
        <v>0.75</v>
      </c>
      <c r="AF30" s="10" t="s">
        <v>82</v>
      </c>
      <c r="AG30" s="10">
        <v>15</v>
      </c>
    </row>
    <row r="31" spans="7:33" x14ac:dyDescent="0.25">
      <c r="G31" s="10" t="s">
        <v>73</v>
      </c>
      <c r="H31" s="10" t="s">
        <v>83</v>
      </c>
      <c r="I31" s="10" t="s">
        <v>284</v>
      </c>
      <c r="J31" s="10" t="s">
        <v>76</v>
      </c>
      <c r="K31" s="10" t="s">
        <v>285</v>
      </c>
      <c r="L31" s="10">
        <v>2</v>
      </c>
      <c r="M31" s="10" t="s">
        <v>78</v>
      </c>
      <c r="P31" s="10">
        <v>1</v>
      </c>
      <c r="Q31" s="10" t="s">
        <v>79</v>
      </c>
      <c r="R31" s="10">
        <v>1600</v>
      </c>
      <c r="S31" s="10">
        <v>450</v>
      </c>
      <c r="T31" s="10">
        <v>720</v>
      </c>
      <c r="Z31" s="10" t="s">
        <v>110</v>
      </c>
      <c r="AD31" s="10">
        <v>0.75</v>
      </c>
      <c r="AF31" s="10" t="s">
        <v>82</v>
      </c>
      <c r="AG31" s="10">
        <v>15</v>
      </c>
    </row>
    <row r="32" spans="7:33" x14ac:dyDescent="0.25">
      <c r="G32" s="10" t="s">
        <v>73</v>
      </c>
      <c r="H32" s="10" t="s">
        <v>142</v>
      </c>
      <c r="I32" s="10" t="s">
        <v>143</v>
      </c>
      <c r="J32" s="10" t="s">
        <v>76</v>
      </c>
      <c r="K32" s="10" t="s">
        <v>144</v>
      </c>
      <c r="L32" s="10">
        <v>2</v>
      </c>
      <c r="M32" s="10" t="s">
        <v>78</v>
      </c>
      <c r="P32" s="10">
        <v>1</v>
      </c>
      <c r="Q32" s="10" t="s">
        <v>79</v>
      </c>
      <c r="R32" s="10">
        <v>3600</v>
      </c>
      <c r="S32" s="10">
        <v>1200</v>
      </c>
      <c r="T32" s="10">
        <v>750</v>
      </c>
      <c r="V32" s="10" t="s">
        <v>86</v>
      </c>
      <c r="Z32" s="10" t="s">
        <v>145</v>
      </c>
      <c r="AD32" s="10">
        <v>0.75</v>
      </c>
      <c r="AF32" s="10" t="s">
        <v>82</v>
      </c>
      <c r="AG32" s="10">
        <v>20</v>
      </c>
    </row>
    <row r="33" spans="7:33" x14ac:dyDescent="0.25">
      <c r="G33" s="10" t="s">
        <v>73</v>
      </c>
      <c r="H33" s="10" t="s">
        <v>142</v>
      </c>
      <c r="I33" s="10" t="s">
        <v>143</v>
      </c>
      <c r="J33" s="10" t="s">
        <v>76</v>
      </c>
      <c r="K33" s="10" t="s">
        <v>286</v>
      </c>
      <c r="L33" s="10">
        <v>2</v>
      </c>
      <c r="M33" s="10" t="s">
        <v>78</v>
      </c>
      <c r="P33" s="10">
        <v>1</v>
      </c>
      <c r="Q33" s="10" t="s">
        <v>79</v>
      </c>
      <c r="R33" s="10">
        <v>2800</v>
      </c>
      <c r="S33" s="10">
        <v>1050</v>
      </c>
      <c r="T33" s="10">
        <v>750</v>
      </c>
      <c r="Z33" s="10" t="s">
        <v>145</v>
      </c>
      <c r="AD33" s="10">
        <v>0.75</v>
      </c>
      <c r="AF33" s="10" t="s">
        <v>82</v>
      </c>
      <c r="AG33" s="10">
        <v>20</v>
      </c>
    </row>
    <row r="34" spans="7:33" x14ac:dyDescent="0.25">
      <c r="G34" s="10" t="s">
        <v>73</v>
      </c>
      <c r="H34" s="10" t="s">
        <v>142</v>
      </c>
      <c r="I34" s="10" t="s">
        <v>287</v>
      </c>
      <c r="J34" s="10" t="s">
        <v>76</v>
      </c>
      <c r="K34" s="10" t="s">
        <v>288</v>
      </c>
      <c r="L34" s="10">
        <v>2</v>
      </c>
      <c r="M34" s="10" t="s">
        <v>78</v>
      </c>
      <c r="P34" s="10">
        <v>1</v>
      </c>
      <c r="Q34" s="10" t="s">
        <v>79</v>
      </c>
      <c r="R34" s="10">
        <v>2000</v>
      </c>
      <c r="S34" s="10">
        <v>1000</v>
      </c>
      <c r="T34" s="10">
        <v>750</v>
      </c>
      <c r="Z34" s="10" t="s">
        <v>110</v>
      </c>
      <c r="AD34" s="10">
        <v>0.75</v>
      </c>
      <c r="AF34" s="10" t="s">
        <v>82</v>
      </c>
      <c r="AG34" s="10">
        <v>20</v>
      </c>
    </row>
    <row r="35" spans="7:33" x14ac:dyDescent="0.25">
      <c r="G35" s="10" t="s">
        <v>73</v>
      </c>
      <c r="H35" s="10" t="s">
        <v>142</v>
      </c>
      <c r="I35" s="10" t="s">
        <v>287</v>
      </c>
      <c r="J35" s="10" t="s">
        <v>76</v>
      </c>
      <c r="K35" s="10" t="s">
        <v>289</v>
      </c>
      <c r="L35" s="10">
        <v>2</v>
      </c>
      <c r="M35" s="10" t="s">
        <v>78</v>
      </c>
      <c r="P35" s="10">
        <v>1</v>
      </c>
      <c r="Q35" s="10" t="s">
        <v>79</v>
      </c>
      <c r="R35" s="10">
        <v>1600</v>
      </c>
      <c r="S35" s="10">
        <v>900</v>
      </c>
      <c r="T35" s="10">
        <v>750</v>
      </c>
      <c r="Z35" s="10" t="s">
        <v>105</v>
      </c>
      <c r="AD35" s="10">
        <v>0.75</v>
      </c>
      <c r="AF35" s="10" t="s">
        <v>82</v>
      </c>
      <c r="AG35" s="10">
        <v>15</v>
      </c>
    </row>
    <row r="36" spans="7:33" x14ac:dyDescent="0.25">
      <c r="G36" s="10" t="s">
        <v>73</v>
      </c>
      <c r="H36" s="10" t="s">
        <v>142</v>
      </c>
      <c r="I36" s="10" t="s">
        <v>192</v>
      </c>
      <c r="J36" s="10" t="s">
        <v>76</v>
      </c>
      <c r="K36" s="10" t="s">
        <v>290</v>
      </c>
      <c r="L36" s="10">
        <v>2</v>
      </c>
      <c r="M36" s="10" t="s">
        <v>78</v>
      </c>
      <c r="P36" s="10">
        <v>1</v>
      </c>
      <c r="Q36" s="10" t="s">
        <v>79</v>
      </c>
      <c r="R36" s="10">
        <v>1800</v>
      </c>
      <c r="S36" s="10">
        <v>900</v>
      </c>
      <c r="T36" s="10">
        <v>750</v>
      </c>
      <c r="Z36" s="10" t="s">
        <v>110</v>
      </c>
      <c r="AD36" s="10">
        <v>0.75</v>
      </c>
      <c r="AF36" s="10" t="s">
        <v>82</v>
      </c>
      <c r="AG36" s="10">
        <v>20</v>
      </c>
    </row>
    <row r="37" spans="7:33" x14ac:dyDescent="0.25">
      <c r="G37" s="10" t="s">
        <v>73</v>
      </c>
      <c r="H37" s="10" t="s">
        <v>142</v>
      </c>
      <c r="I37" s="10" t="s">
        <v>291</v>
      </c>
      <c r="J37" s="10" t="s">
        <v>76</v>
      </c>
      <c r="K37" s="10" t="s">
        <v>292</v>
      </c>
      <c r="L37" s="10">
        <v>2</v>
      </c>
      <c r="M37" s="10" t="s">
        <v>78</v>
      </c>
      <c r="P37" s="10">
        <v>1</v>
      </c>
      <c r="Q37" s="10" t="s">
        <v>79</v>
      </c>
      <c r="R37" s="10">
        <v>1200</v>
      </c>
      <c r="S37" s="10">
        <v>600</v>
      </c>
      <c r="T37" s="10">
        <v>450</v>
      </c>
      <c r="Z37" s="10" t="s">
        <v>110</v>
      </c>
      <c r="AD37" s="10">
        <v>0.75</v>
      </c>
      <c r="AF37" s="10" t="s">
        <v>82</v>
      </c>
      <c r="AG37" s="10">
        <v>15</v>
      </c>
    </row>
    <row r="38" spans="7:33" x14ac:dyDescent="0.25">
      <c r="G38" s="10" t="s">
        <v>73</v>
      </c>
      <c r="H38" s="10" t="s">
        <v>142</v>
      </c>
      <c r="I38" s="10" t="s">
        <v>293</v>
      </c>
      <c r="J38" s="10" t="s">
        <v>76</v>
      </c>
      <c r="K38" s="10" t="s">
        <v>294</v>
      </c>
      <c r="L38" s="10">
        <v>2</v>
      </c>
      <c r="M38" s="10" t="s">
        <v>78</v>
      </c>
      <c r="P38" s="10">
        <v>1</v>
      </c>
      <c r="Q38" s="10" t="s">
        <v>79</v>
      </c>
      <c r="R38" s="10">
        <v>500</v>
      </c>
      <c r="S38" s="10">
        <v>500</v>
      </c>
      <c r="T38" s="10">
        <v>520</v>
      </c>
      <c r="Z38" s="10" t="s">
        <v>95</v>
      </c>
      <c r="AD38" s="10">
        <v>0.75</v>
      </c>
      <c r="AF38" s="10" t="s">
        <v>82</v>
      </c>
      <c r="AG38" s="10">
        <v>15</v>
      </c>
    </row>
    <row r="39" spans="7:33" x14ac:dyDescent="0.25">
      <c r="G39" s="10" t="s">
        <v>73</v>
      </c>
      <c r="H39" s="10" t="s">
        <v>142</v>
      </c>
      <c r="I39" s="10" t="s">
        <v>295</v>
      </c>
      <c r="J39" s="10" t="s">
        <v>76</v>
      </c>
      <c r="K39" s="10" t="s">
        <v>296</v>
      </c>
      <c r="L39" s="10">
        <v>2</v>
      </c>
      <c r="M39" s="10" t="s">
        <v>78</v>
      </c>
      <c r="P39" s="10">
        <v>1</v>
      </c>
      <c r="Q39" s="10" t="s">
        <v>79</v>
      </c>
      <c r="R39" s="10">
        <v>1800</v>
      </c>
      <c r="S39" s="10">
        <v>600</v>
      </c>
      <c r="T39" s="10">
        <v>720</v>
      </c>
      <c r="Z39" s="10" t="s">
        <v>105</v>
      </c>
      <c r="AD39" s="10">
        <v>0.75</v>
      </c>
      <c r="AF39" s="10" t="s">
        <v>82</v>
      </c>
      <c r="AG39" s="10">
        <v>10</v>
      </c>
    </row>
    <row r="40" spans="7:33" x14ac:dyDescent="0.25">
      <c r="G40" s="10" t="s">
        <v>73</v>
      </c>
      <c r="H40" s="10" t="s">
        <v>142</v>
      </c>
      <c r="I40" s="10" t="s">
        <v>297</v>
      </c>
      <c r="J40" s="10" t="s">
        <v>198</v>
      </c>
      <c r="K40" s="10" t="s">
        <v>298</v>
      </c>
      <c r="L40" s="10">
        <v>2</v>
      </c>
      <c r="M40" s="10" t="s">
        <v>78</v>
      </c>
      <c r="P40" s="10">
        <v>1</v>
      </c>
      <c r="Q40" s="10" t="s">
        <v>79</v>
      </c>
      <c r="R40" s="10">
        <v>2000</v>
      </c>
      <c r="S40" s="10">
        <v>1000</v>
      </c>
      <c r="T40" s="10">
        <v>650</v>
      </c>
      <c r="Z40" s="10" t="s">
        <v>105</v>
      </c>
      <c r="AA40" s="10" t="s">
        <v>278</v>
      </c>
      <c r="AD40" s="10">
        <v>0.75</v>
      </c>
      <c r="AF40" s="10" t="s">
        <v>82</v>
      </c>
      <c r="AG40" s="10">
        <v>15</v>
      </c>
    </row>
    <row r="41" spans="7:33" x14ac:dyDescent="0.25">
      <c r="G41" s="10" t="s">
        <v>73</v>
      </c>
      <c r="H41" s="10" t="s">
        <v>142</v>
      </c>
      <c r="I41" s="10" t="s">
        <v>299</v>
      </c>
      <c r="J41" s="10" t="s">
        <v>76</v>
      </c>
      <c r="K41" s="10" t="s">
        <v>300</v>
      </c>
      <c r="L41" s="10">
        <v>2</v>
      </c>
      <c r="M41" s="10" t="s">
        <v>78</v>
      </c>
      <c r="P41" s="10">
        <v>1</v>
      </c>
      <c r="Q41" s="10" t="s">
        <v>79</v>
      </c>
      <c r="R41" s="10">
        <v>700</v>
      </c>
      <c r="S41" s="10">
        <v>700</v>
      </c>
      <c r="T41" s="10">
        <v>1050</v>
      </c>
      <c r="Z41" s="10" t="s">
        <v>301</v>
      </c>
      <c r="AD41" s="10">
        <v>0.75</v>
      </c>
      <c r="AF41" s="10" t="s">
        <v>82</v>
      </c>
      <c r="AG41" s="10">
        <v>12</v>
      </c>
    </row>
    <row r="42" spans="7:33" x14ac:dyDescent="0.25">
      <c r="G42" s="10" t="s">
        <v>73</v>
      </c>
      <c r="H42" s="10" t="s">
        <v>102</v>
      </c>
      <c r="I42" s="10" t="s">
        <v>103</v>
      </c>
      <c r="J42" s="10" t="s">
        <v>76</v>
      </c>
      <c r="K42" s="10" t="s">
        <v>104</v>
      </c>
      <c r="L42" s="10">
        <v>2</v>
      </c>
      <c r="M42" s="10" t="s">
        <v>78</v>
      </c>
      <c r="P42" s="10">
        <v>1</v>
      </c>
      <c r="Q42" s="10" t="s">
        <v>79</v>
      </c>
      <c r="R42" s="10">
        <v>900</v>
      </c>
      <c r="S42" s="10">
        <v>450</v>
      </c>
      <c r="T42" s="10">
        <v>1800</v>
      </c>
      <c r="Z42" s="10" t="s">
        <v>105</v>
      </c>
      <c r="AD42" s="10">
        <v>0.75</v>
      </c>
      <c r="AF42" s="10" t="s">
        <v>82</v>
      </c>
      <c r="AG42" s="10">
        <v>20</v>
      </c>
    </row>
    <row r="43" spans="7:33" x14ac:dyDescent="0.25">
      <c r="G43" s="10" t="s">
        <v>73</v>
      </c>
      <c r="H43" s="10" t="s">
        <v>102</v>
      </c>
      <c r="I43" s="10" t="s">
        <v>103</v>
      </c>
      <c r="J43" s="10" t="s">
        <v>76</v>
      </c>
      <c r="K43" s="10" t="s">
        <v>302</v>
      </c>
      <c r="L43" s="10">
        <v>2</v>
      </c>
      <c r="M43" s="10" t="s">
        <v>78</v>
      </c>
      <c r="P43" s="10">
        <v>1</v>
      </c>
      <c r="Q43" s="10" t="s">
        <v>79</v>
      </c>
      <c r="R43" s="10">
        <v>1800</v>
      </c>
      <c r="S43" s="10">
        <v>450</v>
      </c>
      <c r="T43" s="10">
        <v>1800</v>
      </c>
      <c r="Z43" s="10" t="s">
        <v>105</v>
      </c>
      <c r="AD43" s="10">
        <v>0.75</v>
      </c>
      <c r="AF43" s="10" t="s">
        <v>82</v>
      </c>
      <c r="AG43" s="10">
        <v>20</v>
      </c>
    </row>
    <row r="44" spans="7:33" x14ac:dyDescent="0.25">
      <c r="G44" s="10" t="s">
        <v>73</v>
      </c>
      <c r="H44" s="10" t="s">
        <v>102</v>
      </c>
      <c r="I44" s="10" t="s">
        <v>216</v>
      </c>
      <c r="J44" s="10" t="s">
        <v>76</v>
      </c>
      <c r="K44" s="10" t="s">
        <v>217</v>
      </c>
      <c r="L44" s="10">
        <v>2</v>
      </c>
      <c r="M44" s="10" t="s">
        <v>78</v>
      </c>
      <c r="P44" s="10">
        <v>1</v>
      </c>
      <c r="Q44" s="10" t="s">
        <v>79</v>
      </c>
      <c r="R44" s="10">
        <v>900</v>
      </c>
      <c r="S44" s="10">
        <v>380</v>
      </c>
      <c r="T44" s="10">
        <v>1980</v>
      </c>
      <c r="Z44" s="10" t="s">
        <v>105</v>
      </c>
      <c r="AD44" s="10">
        <v>0.75</v>
      </c>
      <c r="AF44" s="10" t="s">
        <v>82</v>
      </c>
      <c r="AG44" s="10">
        <v>20</v>
      </c>
    </row>
    <row r="45" spans="7:33" x14ac:dyDescent="0.25">
      <c r="G45" s="10" t="s">
        <v>73</v>
      </c>
      <c r="H45" s="10" t="s">
        <v>102</v>
      </c>
      <c r="I45" s="10" t="s">
        <v>216</v>
      </c>
      <c r="J45" s="10" t="s">
        <v>76</v>
      </c>
      <c r="K45" s="10" t="s">
        <v>303</v>
      </c>
      <c r="L45" s="10">
        <v>2</v>
      </c>
      <c r="M45" s="10" t="s">
        <v>78</v>
      </c>
      <c r="P45" s="10">
        <v>1</v>
      </c>
      <c r="Q45" s="10" t="s">
        <v>79</v>
      </c>
      <c r="R45" s="10">
        <v>900</v>
      </c>
      <c r="S45" s="10">
        <v>300</v>
      </c>
      <c r="T45" s="10">
        <v>1200</v>
      </c>
      <c r="Z45" s="10" t="s">
        <v>105</v>
      </c>
      <c r="AD45" s="10">
        <v>0.75</v>
      </c>
      <c r="AF45" s="10" t="s">
        <v>82</v>
      </c>
      <c r="AG45" s="10">
        <v>15</v>
      </c>
    </row>
    <row r="46" spans="7:33" x14ac:dyDescent="0.25">
      <c r="G46" s="10" t="s">
        <v>73</v>
      </c>
      <c r="H46" s="10" t="s">
        <v>102</v>
      </c>
      <c r="I46" s="10" t="s">
        <v>116</v>
      </c>
      <c r="J46" s="10" t="s">
        <v>304</v>
      </c>
      <c r="K46" s="10" t="s">
        <v>305</v>
      </c>
      <c r="L46" s="10">
        <v>2</v>
      </c>
      <c r="M46" s="10" t="s">
        <v>78</v>
      </c>
      <c r="P46" s="10">
        <v>1</v>
      </c>
      <c r="Q46" s="10" t="s">
        <v>79</v>
      </c>
      <c r="R46" s="10">
        <v>900</v>
      </c>
      <c r="S46" s="10">
        <v>580</v>
      </c>
      <c r="T46" s="10">
        <v>720</v>
      </c>
      <c r="V46" s="10" t="s">
        <v>119</v>
      </c>
      <c r="Z46" s="10" t="s">
        <v>120</v>
      </c>
      <c r="AD46" s="10">
        <v>0.75</v>
      </c>
      <c r="AF46" s="10" t="s">
        <v>82</v>
      </c>
      <c r="AG46" s="10">
        <v>20</v>
      </c>
    </row>
    <row r="47" spans="7:33" x14ac:dyDescent="0.25">
      <c r="G47" s="10" t="s">
        <v>73</v>
      </c>
      <c r="H47" s="10" t="s">
        <v>102</v>
      </c>
      <c r="I47" s="10" t="s">
        <v>116</v>
      </c>
      <c r="J47" s="10" t="s">
        <v>122</v>
      </c>
      <c r="K47" s="10" t="s">
        <v>306</v>
      </c>
      <c r="L47" s="10">
        <v>2</v>
      </c>
      <c r="M47" s="10" t="s">
        <v>78</v>
      </c>
      <c r="P47" s="10">
        <v>1</v>
      </c>
      <c r="Q47" s="10" t="s">
        <v>79</v>
      </c>
      <c r="R47" s="10">
        <v>900</v>
      </c>
      <c r="S47" s="10">
        <v>580</v>
      </c>
      <c r="T47" s="10">
        <v>1050</v>
      </c>
      <c r="V47" s="10" t="s">
        <v>119</v>
      </c>
      <c r="Z47" s="10" t="s">
        <v>120</v>
      </c>
      <c r="AD47" s="10">
        <v>0.75</v>
      </c>
      <c r="AF47" s="10" t="s">
        <v>82</v>
      </c>
      <c r="AG47" s="10">
        <v>20</v>
      </c>
    </row>
    <row r="48" spans="7:33" x14ac:dyDescent="0.25">
      <c r="G48" s="10" t="s">
        <v>73</v>
      </c>
      <c r="H48" s="10" t="s">
        <v>102</v>
      </c>
      <c r="I48" s="10" t="s">
        <v>116</v>
      </c>
      <c r="J48" s="10" t="s">
        <v>117</v>
      </c>
      <c r="K48" s="10" t="s">
        <v>118</v>
      </c>
      <c r="L48" s="10">
        <v>2</v>
      </c>
      <c r="M48" s="10" t="s">
        <v>78</v>
      </c>
      <c r="P48" s="10">
        <v>1</v>
      </c>
      <c r="Q48" s="10" t="s">
        <v>79</v>
      </c>
      <c r="R48" s="10">
        <v>900</v>
      </c>
      <c r="S48" s="10">
        <v>580</v>
      </c>
      <c r="T48" s="10">
        <v>1330</v>
      </c>
      <c r="V48" s="10" t="s">
        <v>119</v>
      </c>
      <c r="Z48" s="10" t="s">
        <v>120</v>
      </c>
      <c r="AD48" s="10">
        <v>0.75</v>
      </c>
      <c r="AF48" s="10" t="s">
        <v>82</v>
      </c>
      <c r="AG48" s="10">
        <v>20</v>
      </c>
    </row>
    <row r="49" spans="7:33" x14ac:dyDescent="0.25">
      <c r="G49" s="10" t="s">
        <v>73</v>
      </c>
      <c r="H49" s="10" t="s">
        <v>102</v>
      </c>
      <c r="I49" s="10" t="s">
        <v>307</v>
      </c>
      <c r="J49" s="10" t="s">
        <v>117</v>
      </c>
      <c r="K49" s="10" t="s">
        <v>308</v>
      </c>
      <c r="L49" s="10">
        <v>2</v>
      </c>
      <c r="M49" s="10" t="s">
        <v>78</v>
      </c>
      <c r="P49" s="10">
        <v>1</v>
      </c>
      <c r="Q49" s="10" t="s">
        <v>79</v>
      </c>
      <c r="R49" s="10">
        <v>460</v>
      </c>
      <c r="S49" s="10">
        <v>620</v>
      </c>
      <c r="T49" s="10">
        <v>1330</v>
      </c>
      <c r="Z49" s="10" t="s">
        <v>222</v>
      </c>
      <c r="AD49" s="10">
        <v>0.75</v>
      </c>
      <c r="AF49" s="10" t="s">
        <v>82</v>
      </c>
      <c r="AG49" s="10">
        <v>20</v>
      </c>
    </row>
    <row r="50" spans="7:33" x14ac:dyDescent="0.25">
      <c r="G50" s="10" t="s">
        <v>73</v>
      </c>
      <c r="H50" s="10" t="s">
        <v>102</v>
      </c>
      <c r="I50" s="10" t="s">
        <v>121</v>
      </c>
      <c r="J50" s="10" t="s">
        <v>122</v>
      </c>
      <c r="K50" s="10" t="s">
        <v>309</v>
      </c>
      <c r="L50" s="10">
        <v>2</v>
      </c>
      <c r="M50" s="10" t="s">
        <v>78</v>
      </c>
      <c r="P50" s="10">
        <v>1</v>
      </c>
      <c r="Q50" s="10" t="s">
        <v>79</v>
      </c>
      <c r="R50" s="10">
        <v>460</v>
      </c>
      <c r="S50" s="10">
        <v>570</v>
      </c>
      <c r="T50" s="10">
        <v>690</v>
      </c>
      <c r="Z50" s="10" t="s">
        <v>105</v>
      </c>
      <c r="AD50" s="10">
        <v>0.75</v>
      </c>
      <c r="AF50" s="10" t="s">
        <v>82</v>
      </c>
      <c r="AG50" s="10">
        <v>20</v>
      </c>
    </row>
    <row r="51" spans="7:33" x14ac:dyDescent="0.25">
      <c r="G51" s="10" t="s">
        <v>73</v>
      </c>
      <c r="H51" s="10" t="s">
        <v>102</v>
      </c>
      <c r="I51" s="10" t="s">
        <v>121</v>
      </c>
      <c r="J51" s="10" t="s">
        <v>304</v>
      </c>
      <c r="K51" s="10" t="s">
        <v>310</v>
      </c>
      <c r="L51" s="10">
        <v>2</v>
      </c>
      <c r="M51" s="10" t="s">
        <v>78</v>
      </c>
      <c r="P51" s="10">
        <v>1</v>
      </c>
      <c r="Q51" s="10" t="s">
        <v>79</v>
      </c>
      <c r="R51" s="10">
        <v>460</v>
      </c>
      <c r="S51" s="10">
        <v>570</v>
      </c>
      <c r="T51" s="10">
        <v>560</v>
      </c>
      <c r="Z51" s="10" t="s">
        <v>105</v>
      </c>
      <c r="AD51" s="10">
        <v>0.75</v>
      </c>
      <c r="AF51" s="10" t="s">
        <v>82</v>
      </c>
      <c r="AG51" s="10">
        <v>20</v>
      </c>
    </row>
    <row r="52" spans="7:33" x14ac:dyDescent="0.25">
      <c r="G52" s="10" t="s">
        <v>73</v>
      </c>
      <c r="H52" s="10" t="s">
        <v>102</v>
      </c>
      <c r="I52" s="10" t="s">
        <v>159</v>
      </c>
      <c r="J52" s="10" t="s">
        <v>76</v>
      </c>
      <c r="K52" s="10" t="s">
        <v>160</v>
      </c>
      <c r="L52" s="10">
        <v>2</v>
      </c>
      <c r="M52" s="10" t="s">
        <v>78</v>
      </c>
      <c r="P52" s="10">
        <v>1</v>
      </c>
      <c r="Q52" s="10" t="s">
        <v>79</v>
      </c>
      <c r="R52" s="10">
        <v>1800</v>
      </c>
      <c r="S52" s="10">
        <v>450</v>
      </c>
      <c r="T52" s="10">
        <v>750</v>
      </c>
      <c r="Z52" s="10" t="s">
        <v>145</v>
      </c>
      <c r="AD52" s="10">
        <v>0.75</v>
      </c>
      <c r="AF52" s="10" t="s">
        <v>82</v>
      </c>
      <c r="AG52" s="10">
        <v>20</v>
      </c>
    </row>
    <row r="53" spans="7:33" x14ac:dyDescent="0.25">
      <c r="G53" s="10" t="s">
        <v>73</v>
      </c>
      <c r="H53" s="10" t="s">
        <v>102</v>
      </c>
      <c r="I53" s="10" t="s">
        <v>159</v>
      </c>
      <c r="J53" s="10" t="s">
        <v>76</v>
      </c>
      <c r="K53" s="10" t="s">
        <v>311</v>
      </c>
      <c r="L53" s="10">
        <v>2</v>
      </c>
      <c r="M53" s="10" t="s">
        <v>78</v>
      </c>
      <c r="P53" s="10">
        <v>1</v>
      </c>
      <c r="Q53" s="10" t="s">
        <v>79</v>
      </c>
      <c r="R53" s="10">
        <v>1600</v>
      </c>
      <c r="S53" s="10">
        <v>450</v>
      </c>
      <c r="T53" s="10">
        <v>750</v>
      </c>
      <c r="Z53" s="10" t="s">
        <v>105</v>
      </c>
      <c r="AD53" s="10">
        <v>0.75</v>
      </c>
      <c r="AF53" s="10" t="s">
        <v>82</v>
      </c>
      <c r="AG53" s="10">
        <v>20</v>
      </c>
    </row>
    <row r="54" spans="7:33" x14ac:dyDescent="0.25">
      <c r="G54" s="10" t="s">
        <v>73</v>
      </c>
      <c r="H54" s="10" t="s">
        <v>102</v>
      </c>
      <c r="I54" s="10" t="s">
        <v>218</v>
      </c>
      <c r="J54" s="10" t="s">
        <v>312</v>
      </c>
      <c r="K54" s="10" t="s">
        <v>313</v>
      </c>
      <c r="L54" s="10">
        <v>2</v>
      </c>
      <c r="M54" s="10" t="s">
        <v>78</v>
      </c>
      <c r="P54" s="10">
        <v>1</v>
      </c>
      <c r="Q54" s="10" t="s">
        <v>79</v>
      </c>
      <c r="R54" s="10">
        <v>300</v>
      </c>
      <c r="S54" s="10">
        <v>450</v>
      </c>
      <c r="T54" s="10">
        <v>1800</v>
      </c>
      <c r="V54" s="10" t="s">
        <v>119</v>
      </c>
      <c r="Z54" s="10" t="s">
        <v>222</v>
      </c>
      <c r="AD54" s="10">
        <v>0.75</v>
      </c>
      <c r="AF54" s="10" t="s">
        <v>82</v>
      </c>
      <c r="AG54" s="10">
        <v>20</v>
      </c>
    </row>
    <row r="55" spans="7:33" x14ac:dyDescent="0.25">
      <c r="G55" s="10" t="s">
        <v>73</v>
      </c>
      <c r="H55" s="10" t="s">
        <v>102</v>
      </c>
      <c r="I55" s="10" t="s">
        <v>218</v>
      </c>
      <c r="J55" s="10" t="s">
        <v>219</v>
      </c>
      <c r="K55" s="10" t="s">
        <v>220</v>
      </c>
      <c r="L55" s="10">
        <v>2</v>
      </c>
      <c r="M55" s="10" t="s">
        <v>78</v>
      </c>
      <c r="P55" s="10">
        <v>1</v>
      </c>
      <c r="Q55" s="10" t="s">
        <v>79</v>
      </c>
      <c r="R55" s="10">
        <v>900</v>
      </c>
      <c r="S55" s="10">
        <v>450</v>
      </c>
      <c r="T55" s="10">
        <v>1800</v>
      </c>
      <c r="V55" s="10" t="s">
        <v>119</v>
      </c>
      <c r="Z55" s="10" t="s">
        <v>222</v>
      </c>
      <c r="AD55" s="10">
        <v>0.75</v>
      </c>
      <c r="AF55" s="10" t="s">
        <v>82</v>
      </c>
      <c r="AG55" s="10">
        <v>20</v>
      </c>
    </row>
    <row r="56" spans="7:33" x14ac:dyDescent="0.25">
      <c r="G56" s="10" t="s">
        <v>73</v>
      </c>
      <c r="H56" s="10" t="s">
        <v>102</v>
      </c>
      <c r="I56" s="10" t="s">
        <v>218</v>
      </c>
      <c r="J56" s="10" t="s">
        <v>314</v>
      </c>
      <c r="K56" s="10" t="s">
        <v>315</v>
      </c>
      <c r="L56" s="10">
        <v>2</v>
      </c>
      <c r="M56" s="10" t="s">
        <v>78</v>
      </c>
      <c r="P56" s="10">
        <v>1</v>
      </c>
      <c r="Q56" s="10" t="s">
        <v>79</v>
      </c>
      <c r="R56" s="10">
        <v>1200</v>
      </c>
      <c r="S56" s="10">
        <v>450</v>
      </c>
      <c r="T56" s="10">
        <v>1800</v>
      </c>
      <c r="Z56" s="10" t="s">
        <v>222</v>
      </c>
      <c r="AD56" s="10">
        <v>0.75</v>
      </c>
      <c r="AF56" s="10" t="s">
        <v>82</v>
      </c>
      <c r="AG56" s="10">
        <v>20</v>
      </c>
    </row>
    <row r="57" spans="7:33" x14ac:dyDescent="0.25">
      <c r="G57" s="10" t="s">
        <v>73</v>
      </c>
      <c r="H57" s="10" t="s">
        <v>102</v>
      </c>
      <c r="I57" s="10" t="s">
        <v>316</v>
      </c>
      <c r="J57" s="10" t="s">
        <v>76</v>
      </c>
      <c r="K57" s="10" t="s">
        <v>317</v>
      </c>
      <c r="L57" s="10">
        <v>2</v>
      </c>
      <c r="M57" s="10" t="s">
        <v>78</v>
      </c>
      <c r="P57" s="10">
        <v>1</v>
      </c>
      <c r="Q57" s="10" t="s">
        <v>79</v>
      </c>
      <c r="R57" s="10">
        <v>4200</v>
      </c>
      <c r="S57" s="10">
        <v>900</v>
      </c>
      <c r="T57" s="10">
        <v>2000</v>
      </c>
      <c r="V57" s="10" t="s">
        <v>119</v>
      </c>
      <c r="Z57" s="10" t="s">
        <v>222</v>
      </c>
      <c r="AD57" s="10">
        <v>0.75</v>
      </c>
      <c r="AF57" s="10" t="s">
        <v>82</v>
      </c>
      <c r="AG57" s="10">
        <v>25</v>
      </c>
    </row>
    <row r="58" spans="7:33" x14ac:dyDescent="0.25">
      <c r="G58" s="10" t="s">
        <v>73</v>
      </c>
      <c r="H58" s="10" t="s">
        <v>102</v>
      </c>
      <c r="I58" s="10" t="s">
        <v>318</v>
      </c>
      <c r="J58" s="10" t="s">
        <v>319</v>
      </c>
      <c r="K58" s="10" t="s">
        <v>320</v>
      </c>
      <c r="L58" s="10">
        <v>2</v>
      </c>
      <c r="M58" s="10" t="s">
        <v>78</v>
      </c>
      <c r="P58" s="10">
        <v>1</v>
      </c>
      <c r="Q58" s="10" t="s">
        <v>79</v>
      </c>
      <c r="R58" s="10">
        <v>1200</v>
      </c>
      <c r="S58" s="10">
        <v>920</v>
      </c>
      <c r="T58" s="10">
        <v>750</v>
      </c>
      <c r="Z58" s="10" t="s">
        <v>222</v>
      </c>
      <c r="AD58" s="10">
        <v>0.75</v>
      </c>
      <c r="AF58" s="10" t="s">
        <v>82</v>
      </c>
      <c r="AG58" s="10">
        <v>25</v>
      </c>
    </row>
    <row r="59" spans="7:33" x14ac:dyDescent="0.25">
      <c r="G59" s="10" t="s">
        <v>73</v>
      </c>
      <c r="H59" s="10" t="s">
        <v>102</v>
      </c>
      <c r="I59" s="10" t="s">
        <v>321</v>
      </c>
      <c r="J59" s="10" t="s">
        <v>76</v>
      </c>
      <c r="K59" s="10" t="s">
        <v>322</v>
      </c>
      <c r="L59" s="10">
        <v>2</v>
      </c>
      <c r="M59" s="10" t="s">
        <v>78</v>
      </c>
      <c r="P59" s="10">
        <v>1</v>
      </c>
      <c r="Q59" s="10" t="s">
        <v>79</v>
      </c>
      <c r="R59" s="10">
        <v>1200</v>
      </c>
      <c r="S59" s="10">
        <v>400</v>
      </c>
      <c r="T59" s="10">
        <v>370</v>
      </c>
      <c r="Z59" s="10" t="s">
        <v>105</v>
      </c>
      <c r="AD59" s="10">
        <v>0.75</v>
      </c>
      <c r="AF59" s="10" t="s">
        <v>82</v>
      </c>
      <c r="AG59" s="10">
        <v>20</v>
      </c>
    </row>
    <row r="60" spans="7:33" x14ac:dyDescent="0.25">
      <c r="G60" s="10" t="s">
        <v>73</v>
      </c>
      <c r="H60" s="10" t="s">
        <v>208</v>
      </c>
      <c r="I60" s="10" t="s">
        <v>209</v>
      </c>
      <c r="J60" s="10" t="s">
        <v>76</v>
      </c>
      <c r="K60" s="10" t="s">
        <v>323</v>
      </c>
      <c r="L60" s="10">
        <v>2</v>
      </c>
      <c r="M60" s="10" t="s">
        <v>78</v>
      </c>
      <c r="P60" s="10">
        <v>1</v>
      </c>
      <c r="Q60" s="10" t="s">
        <v>79</v>
      </c>
      <c r="R60" s="10">
        <v>1200</v>
      </c>
      <c r="S60" s="10">
        <v>50</v>
      </c>
      <c r="T60" s="10">
        <v>1200</v>
      </c>
      <c r="Z60" s="10" t="s">
        <v>101</v>
      </c>
      <c r="AD60" s="10">
        <v>0.75</v>
      </c>
      <c r="AF60" s="10" t="s">
        <v>82</v>
      </c>
      <c r="AG60" s="10">
        <v>15</v>
      </c>
    </row>
    <row r="61" spans="7:33" x14ac:dyDescent="0.25">
      <c r="G61" s="10" t="s">
        <v>73</v>
      </c>
      <c r="H61" s="10" t="s">
        <v>208</v>
      </c>
      <c r="I61" s="10" t="s">
        <v>209</v>
      </c>
      <c r="J61" s="10" t="s">
        <v>76</v>
      </c>
      <c r="K61" s="10" t="s">
        <v>324</v>
      </c>
      <c r="L61" s="10">
        <v>2</v>
      </c>
      <c r="M61" s="10" t="s">
        <v>78</v>
      </c>
      <c r="P61" s="10">
        <v>1</v>
      </c>
      <c r="Q61" s="10" t="s">
        <v>79</v>
      </c>
      <c r="R61" s="10">
        <v>1200</v>
      </c>
      <c r="S61" s="10">
        <v>50</v>
      </c>
      <c r="T61" s="10">
        <v>1800</v>
      </c>
      <c r="Z61" s="10" t="s">
        <v>101</v>
      </c>
      <c r="AD61" s="10">
        <v>0.75</v>
      </c>
      <c r="AF61" s="10" t="s">
        <v>82</v>
      </c>
      <c r="AG61" s="10">
        <v>15</v>
      </c>
    </row>
    <row r="62" spans="7:33" x14ac:dyDescent="0.25">
      <c r="G62" s="10" t="s">
        <v>73</v>
      </c>
      <c r="H62" s="10" t="s">
        <v>208</v>
      </c>
      <c r="I62" s="10" t="s">
        <v>325</v>
      </c>
      <c r="J62" s="10" t="s">
        <v>76</v>
      </c>
      <c r="K62" s="10" t="s">
        <v>326</v>
      </c>
      <c r="L62" s="10">
        <v>2</v>
      </c>
      <c r="M62" s="10" t="s">
        <v>78</v>
      </c>
      <c r="P62" s="10">
        <v>1</v>
      </c>
      <c r="Q62" s="10" t="s">
        <v>79</v>
      </c>
      <c r="R62" s="10">
        <v>1200</v>
      </c>
      <c r="S62" s="10">
        <v>50</v>
      </c>
      <c r="T62" s="10">
        <v>1800</v>
      </c>
      <c r="Z62" s="10" t="s">
        <v>105</v>
      </c>
      <c r="AD62" s="10">
        <v>0.75</v>
      </c>
      <c r="AF62" s="10" t="s">
        <v>82</v>
      </c>
      <c r="AG62" s="10">
        <v>15</v>
      </c>
    </row>
    <row r="63" spans="7:33" x14ac:dyDescent="0.25">
      <c r="G63" s="10" t="s">
        <v>73</v>
      </c>
      <c r="H63" s="10" t="s">
        <v>208</v>
      </c>
      <c r="I63" s="10" t="s">
        <v>327</v>
      </c>
      <c r="J63" s="10" t="s">
        <v>76</v>
      </c>
      <c r="K63" s="10" t="s">
        <v>328</v>
      </c>
      <c r="L63" s="10">
        <v>2</v>
      </c>
      <c r="M63" s="10" t="s">
        <v>78</v>
      </c>
      <c r="P63" s="10">
        <v>1</v>
      </c>
      <c r="Q63" s="10" t="s">
        <v>79</v>
      </c>
      <c r="R63" s="10">
        <v>1800</v>
      </c>
      <c r="S63" s="10">
        <v>30</v>
      </c>
      <c r="T63" s="10">
        <v>1200</v>
      </c>
      <c r="Z63" s="10" t="s">
        <v>329</v>
      </c>
      <c r="AD63" s="10">
        <v>0.75</v>
      </c>
      <c r="AF63" s="10" t="s">
        <v>82</v>
      </c>
      <c r="AG63" s="10">
        <v>15</v>
      </c>
    </row>
    <row r="64" spans="7:33" x14ac:dyDescent="0.25">
      <c r="G64" s="10" t="s">
        <v>73</v>
      </c>
      <c r="H64" s="10" t="s">
        <v>208</v>
      </c>
      <c r="I64" s="10" t="s">
        <v>330</v>
      </c>
      <c r="J64" s="10" t="s">
        <v>76</v>
      </c>
      <c r="K64" s="10" t="s">
        <v>331</v>
      </c>
      <c r="L64" s="10">
        <v>2</v>
      </c>
      <c r="M64" s="10" t="s">
        <v>78</v>
      </c>
      <c r="P64" s="10">
        <v>1</v>
      </c>
      <c r="Q64" s="10" t="s">
        <v>79</v>
      </c>
      <c r="R64" s="10">
        <v>800</v>
      </c>
      <c r="S64" s="10">
        <v>30</v>
      </c>
      <c r="T64" s="10">
        <v>1800</v>
      </c>
      <c r="Z64" s="10" t="s">
        <v>101</v>
      </c>
      <c r="AD64" s="10">
        <v>0.75</v>
      </c>
      <c r="AF64" s="10" t="s">
        <v>82</v>
      </c>
      <c r="AG64" s="10">
        <v>15</v>
      </c>
    </row>
    <row r="65" spans="7:33" x14ac:dyDescent="0.25">
      <c r="G65" s="10" t="s">
        <v>73</v>
      </c>
      <c r="H65" s="10" t="s">
        <v>234</v>
      </c>
      <c r="I65" s="10" t="s">
        <v>235</v>
      </c>
      <c r="J65" s="10" t="s">
        <v>76</v>
      </c>
      <c r="K65" s="10" t="s">
        <v>236</v>
      </c>
      <c r="L65" s="10">
        <v>2</v>
      </c>
      <c r="M65" s="10" t="s">
        <v>78</v>
      </c>
      <c r="P65" s="10">
        <v>1</v>
      </c>
      <c r="Q65" s="10" t="s">
        <v>79</v>
      </c>
      <c r="R65" s="10">
        <v>600</v>
      </c>
      <c r="S65" s="10">
        <v>50</v>
      </c>
      <c r="T65" s="10">
        <v>800</v>
      </c>
      <c r="Z65" s="10" t="s">
        <v>237</v>
      </c>
      <c r="AD65" s="10">
        <v>0.75</v>
      </c>
      <c r="AF65" s="10" t="s">
        <v>82</v>
      </c>
      <c r="AG65" s="10">
        <v>20</v>
      </c>
    </row>
    <row r="66" spans="7:33" x14ac:dyDescent="0.25">
      <c r="G66" s="10" t="s">
        <v>73</v>
      </c>
      <c r="H66" s="10" t="s">
        <v>234</v>
      </c>
      <c r="I66" s="10" t="s">
        <v>235</v>
      </c>
      <c r="J66" s="10" t="s">
        <v>76</v>
      </c>
      <c r="K66" s="10" t="s">
        <v>332</v>
      </c>
      <c r="L66" s="10">
        <v>2</v>
      </c>
      <c r="M66" s="10" t="s">
        <v>78</v>
      </c>
      <c r="P66" s="10">
        <v>1</v>
      </c>
      <c r="Q66" s="10" t="s">
        <v>79</v>
      </c>
      <c r="R66" s="10">
        <v>1000</v>
      </c>
      <c r="S66" s="10">
        <v>50</v>
      </c>
      <c r="T66" s="10">
        <v>800</v>
      </c>
      <c r="Z66" s="10" t="s">
        <v>333</v>
      </c>
      <c r="AD66" s="10">
        <v>0.75</v>
      </c>
      <c r="AF66" s="10" t="s">
        <v>82</v>
      </c>
      <c r="AG66" s="10">
        <v>20</v>
      </c>
    </row>
    <row r="67" spans="7:33" x14ac:dyDescent="0.25">
      <c r="G67" s="10" t="s">
        <v>73</v>
      </c>
      <c r="H67" s="10" t="s">
        <v>234</v>
      </c>
      <c r="I67" s="10" t="s">
        <v>334</v>
      </c>
      <c r="J67" s="10" t="s">
        <v>76</v>
      </c>
      <c r="K67" s="10" t="s">
        <v>335</v>
      </c>
      <c r="L67" s="10">
        <v>2</v>
      </c>
      <c r="M67" s="10" t="s">
        <v>78</v>
      </c>
      <c r="P67" s="10">
        <v>1</v>
      </c>
      <c r="Q67" s="10" t="s">
        <v>79</v>
      </c>
      <c r="R67" s="10">
        <v>2000</v>
      </c>
      <c r="S67" s="10">
        <v>3000</v>
      </c>
      <c r="T67" s="10">
        <v>10</v>
      </c>
      <c r="Z67" s="10" t="s">
        <v>336</v>
      </c>
      <c r="AD67" s="10">
        <v>0.75</v>
      </c>
      <c r="AF67" s="10" t="s">
        <v>82</v>
      </c>
      <c r="AG67" s="10">
        <v>10</v>
      </c>
    </row>
    <row r="68" spans="7:33" x14ac:dyDescent="0.25">
      <c r="G68" s="10" t="s">
        <v>73</v>
      </c>
      <c r="H68" s="10" t="s">
        <v>234</v>
      </c>
      <c r="I68" s="10" t="s">
        <v>337</v>
      </c>
      <c r="J68" s="10" t="s">
        <v>76</v>
      </c>
      <c r="K68" s="10" t="s">
        <v>338</v>
      </c>
      <c r="L68" s="10">
        <v>2</v>
      </c>
      <c r="M68" s="10" t="s">
        <v>78</v>
      </c>
      <c r="P68" s="10">
        <v>1</v>
      </c>
      <c r="Q68" s="10" t="s">
        <v>79</v>
      </c>
      <c r="R68" s="10">
        <v>500</v>
      </c>
      <c r="S68" s="10">
        <v>500</v>
      </c>
      <c r="T68" s="10">
        <v>1200</v>
      </c>
      <c r="Z68" s="10" t="s">
        <v>339</v>
      </c>
      <c r="AD68" s="10">
        <v>0.75</v>
      </c>
      <c r="AF68" s="10" t="s">
        <v>82</v>
      </c>
      <c r="AG68" s="10">
        <v>5</v>
      </c>
    </row>
    <row r="69" spans="7:33" x14ac:dyDescent="0.25">
      <c r="G69" s="10" t="s">
        <v>73</v>
      </c>
      <c r="H69" s="10" t="s">
        <v>234</v>
      </c>
      <c r="I69" s="10" t="s">
        <v>340</v>
      </c>
      <c r="J69" s="10" t="s">
        <v>76</v>
      </c>
      <c r="K69" s="10" t="s">
        <v>341</v>
      </c>
      <c r="L69" s="10">
        <v>2</v>
      </c>
      <c r="M69" s="10" t="s">
        <v>78</v>
      </c>
      <c r="P69" s="10">
        <v>1</v>
      </c>
      <c r="Q69" s="10" t="s">
        <v>79</v>
      </c>
      <c r="R69" s="10">
        <v>1500</v>
      </c>
      <c r="S69" s="10">
        <v>100</v>
      </c>
      <c r="T69" s="10">
        <v>50</v>
      </c>
      <c r="Z69" s="10" t="s">
        <v>105</v>
      </c>
      <c r="AD69" s="10">
        <v>0.75</v>
      </c>
      <c r="AF69" s="10" t="s">
        <v>82</v>
      </c>
      <c r="AG69" s="10">
        <v>10</v>
      </c>
    </row>
    <row r="70" spans="7:33" x14ac:dyDescent="0.25">
      <c r="G70" s="10" t="s">
        <v>124</v>
      </c>
      <c r="H70" s="10" t="s">
        <v>125</v>
      </c>
      <c r="I70" s="10" t="s">
        <v>126</v>
      </c>
      <c r="J70" s="10" t="s">
        <v>76</v>
      </c>
      <c r="K70" s="10" t="s">
        <v>127</v>
      </c>
      <c r="L70" s="10">
        <v>2</v>
      </c>
      <c r="M70" s="10" t="s">
        <v>78</v>
      </c>
      <c r="P70" s="10">
        <v>1</v>
      </c>
      <c r="Q70" s="10" t="s">
        <v>79</v>
      </c>
      <c r="T70" s="10">
        <v>400</v>
      </c>
      <c r="V70" s="10" t="s">
        <v>128</v>
      </c>
      <c r="W70" s="10" t="s">
        <v>129</v>
      </c>
      <c r="Z70" s="10" t="s">
        <v>95</v>
      </c>
      <c r="AD70" s="10">
        <v>0.75</v>
      </c>
      <c r="AF70" s="10" t="s">
        <v>96</v>
      </c>
      <c r="AG70" s="10">
        <v>5</v>
      </c>
    </row>
    <row r="71" spans="7:33" x14ac:dyDescent="0.25">
      <c r="G71" s="10" t="s">
        <v>124</v>
      </c>
      <c r="H71" s="10" t="s">
        <v>125</v>
      </c>
      <c r="I71" s="10" t="s">
        <v>126</v>
      </c>
      <c r="J71" s="10" t="s">
        <v>76</v>
      </c>
      <c r="K71" s="10" t="s">
        <v>342</v>
      </c>
      <c r="L71" s="10">
        <v>2</v>
      </c>
      <c r="M71" s="10" t="s">
        <v>78</v>
      </c>
      <c r="P71" s="10">
        <v>1</v>
      </c>
      <c r="Q71" s="10" t="s">
        <v>79</v>
      </c>
      <c r="T71" s="10">
        <v>420</v>
      </c>
      <c r="V71" s="10" t="s">
        <v>343</v>
      </c>
      <c r="W71" s="10" t="s">
        <v>344</v>
      </c>
      <c r="Z71" s="10" t="s">
        <v>95</v>
      </c>
      <c r="AD71" s="10">
        <v>0.75</v>
      </c>
      <c r="AF71" s="10" t="s">
        <v>96</v>
      </c>
      <c r="AG71" s="10">
        <v>5</v>
      </c>
    </row>
    <row r="72" spans="7:33" x14ac:dyDescent="0.25">
      <c r="G72" s="10" t="s">
        <v>124</v>
      </c>
      <c r="H72" s="10" t="s">
        <v>125</v>
      </c>
      <c r="I72" s="10" t="s">
        <v>345</v>
      </c>
      <c r="J72" s="10" t="s">
        <v>76</v>
      </c>
      <c r="K72" s="10" t="s">
        <v>346</v>
      </c>
      <c r="L72" s="10">
        <v>2</v>
      </c>
      <c r="M72" s="10" t="s">
        <v>78</v>
      </c>
      <c r="P72" s="10">
        <v>1</v>
      </c>
      <c r="Q72" s="10" t="s">
        <v>79</v>
      </c>
      <c r="R72" s="10">
        <v>650</v>
      </c>
      <c r="S72" s="10">
        <v>200</v>
      </c>
      <c r="T72" s="10">
        <v>480</v>
      </c>
      <c r="U72" s="10">
        <v>27</v>
      </c>
      <c r="V72" s="10" t="s">
        <v>347</v>
      </c>
      <c r="W72" s="10" t="s">
        <v>348</v>
      </c>
      <c r="Z72" s="10" t="s">
        <v>349</v>
      </c>
      <c r="AD72" s="10">
        <v>0.75</v>
      </c>
      <c r="AF72" s="10" t="s">
        <v>96</v>
      </c>
      <c r="AG72" s="10">
        <v>5</v>
      </c>
    </row>
    <row r="73" spans="7:33" x14ac:dyDescent="0.25">
      <c r="G73" s="10" t="s">
        <v>124</v>
      </c>
      <c r="H73" s="10" t="s">
        <v>125</v>
      </c>
      <c r="I73" s="10" t="s">
        <v>212</v>
      </c>
      <c r="J73" s="10" t="s">
        <v>76</v>
      </c>
      <c r="K73" s="10" t="s">
        <v>350</v>
      </c>
      <c r="L73" s="10">
        <v>2</v>
      </c>
      <c r="M73" s="10" t="s">
        <v>78</v>
      </c>
      <c r="P73" s="10">
        <v>1</v>
      </c>
      <c r="Q73" s="10" t="s">
        <v>79</v>
      </c>
      <c r="R73" s="10">
        <v>320</v>
      </c>
      <c r="S73" s="10">
        <v>230</v>
      </c>
      <c r="T73" s="10">
        <v>18</v>
      </c>
      <c r="V73" s="10" t="s">
        <v>128</v>
      </c>
      <c r="W73" s="10" t="s">
        <v>214</v>
      </c>
      <c r="Z73" s="10" t="s">
        <v>95</v>
      </c>
      <c r="AD73" s="10">
        <v>0.75</v>
      </c>
      <c r="AF73" s="10" t="s">
        <v>96</v>
      </c>
      <c r="AG73" s="10">
        <v>5</v>
      </c>
    </row>
    <row r="74" spans="7:33" x14ac:dyDescent="0.25">
      <c r="G74" s="10" t="s">
        <v>124</v>
      </c>
      <c r="H74" s="10" t="s">
        <v>125</v>
      </c>
      <c r="I74" s="10" t="s">
        <v>212</v>
      </c>
      <c r="J74" s="10" t="s">
        <v>76</v>
      </c>
      <c r="K74" s="10" t="s">
        <v>351</v>
      </c>
      <c r="L74" s="10">
        <v>2</v>
      </c>
      <c r="M74" s="10" t="s">
        <v>78</v>
      </c>
      <c r="P74" s="10">
        <v>1</v>
      </c>
      <c r="Q74" s="10" t="s">
        <v>79</v>
      </c>
      <c r="R74" s="10">
        <v>300</v>
      </c>
      <c r="S74" s="10">
        <v>200</v>
      </c>
      <c r="T74" s="10">
        <v>14</v>
      </c>
      <c r="V74" s="10" t="s">
        <v>352</v>
      </c>
      <c r="W74" s="10" t="s">
        <v>353</v>
      </c>
      <c r="Z74" s="10" t="s">
        <v>95</v>
      </c>
      <c r="AD74" s="10">
        <v>0.75</v>
      </c>
      <c r="AF74" s="10" t="s">
        <v>96</v>
      </c>
      <c r="AG74" s="10">
        <v>5</v>
      </c>
    </row>
    <row r="75" spans="7:33" x14ac:dyDescent="0.25">
      <c r="G75" s="10" t="s">
        <v>124</v>
      </c>
      <c r="H75" s="10" t="s">
        <v>125</v>
      </c>
      <c r="I75" s="10" t="s">
        <v>212</v>
      </c>
      <c r="J75" s="10" t="s">
        <v>76</v>
      </c>
      <c r="K75" s="10" t="s">
        <v>354</v>
      </c>
      <c r="L75" s="10">
        <v>2</v>
      </c>
      <c r="M75" s="10" t="s">
        <v>78</v>
      </c>
      <c r="P75" s="10">
        <v>1</v>
      </c>
      <c r="Q75" s="10" t="s">
        <v>79</v>
      </c>
      <c r="R75" s="10">
        <v>312</v>
      </c>
      <c r="S75" s="10">
        <v>221</v>
      </c>
      <c r="T75" s="10">
        <v>16</v>
      </c>
      <c r="V75" s="10" t="s">
        <v>347</v>
      </c>
      <c r="W75" s="10" t="s">
        <v>355</v>
      </c>
      <c r="Z75" s="10" t="s">
        <v>349</v>
      </c>
      <c r="AD75" s="10">
        <v>0.75</v>
      </c>
      <c r="AF75" s="10" t="s">
        <v>96</v>
      </c>
      <c r="AG75" s="10">
        <v>5</v>
      </c>
    </row>
    <row r="76" spans="7:33" x14ac:dyDescent="0.25">
      <c r="G76" s="10" t="s">
        <v>124</v>
      </c>
      <c r="H76" s="10" t="s">
        <v>125</v>
      </c>
      <c r="I76" s="10" t="s">
        <v>356</v>
      </c>
      <c r="J76" s="10" t="s">
        <v>76</v>
      </c>
      <c r="K76" s="10" t="s">
        <v>357</v>
      </c>
      <c r="L76" s="10">
        <v>2</v>
      </c>
      <c r="M76" s="10" t="s">
        <v>78</v>
      </c>
      <c r="P76" s="10">
        <v>1</v>
      </c>
      <c r="Q76" s="10" t="s">
        <v>79</v>
      </c>
      <c r="R76" s="10">
        <v>281</v>
      </c>
      <c r="S76" s="10">
        <v>215</v>
      </c>
      <c r="T76" s="10">
        <v>7</v>
      </c>
      <c r="V76" s="10" t="s">
        <v>347</v>
      </c>
      <c r="W76" s="10" t="s">
        <v>358</v>
      </c>
      <c r="Z76" s="10" t="s">
        <v>359</v>
      </c>
      <c r="AA76" s="10" t="s">
        <v>360</v>
      </c>
      <c r="AD76" s="10">
        <v>0.75</v>
      </c>
      <c r="AF76" s="10" t="s">
        <v>96</v>
      </c>
      <c r="AG76" s="10">
        <v>5</v>
      </c>
    </row>
    <row r="77" spans="7:33" x14ac:dyDescent="0.25">
      <c r="G77" s="10" t="s">
        <v>124</v>
      </c>
      <c r="H77" s="10" t="s">
        <v>125</v>
      </c>
      <c r="I77" s="10" t="s">
        <v>361</v>
      </c>
      <c r="J77" s="10" t="s">
        <v>76</v>
      </c>
      <c r="K77" s="10" t="s">
        <v>362</v>
      </c>
      <c r="L77" s="10">
        <v>2</v>
      </c>
      <c r="M77" s="10" t="s">
        <v>78</v>
      </c>
      <c r="P77" s="10">
        <v>1</v>
      </c>
      <c r="Q77" s="10" t="s">
        <v>79</v>
      </c>
      <c r="R77" s="10">
        <v>200</v>
      </c>
      <c r="S77" s="10">
        <v>80</v>
      </c>
      <c r="T77" s="10">
        <v>35</v>
      </c>
      <c r="V77" s="10" t="s">
        <v>128</v>
      </c>
      <c r="W77" s="10" t="s">
        <v>363</v>
      </c>
      <c r="Z77" s="10" t="s">
        <v>95</v>
      </c>
      <c r="AD77" s="10">
        <v>0.75</v>
      </c>
      <c r="AF77" s="10" t="s">
        <v>96</v>
      </c>
      <c r="AG77" s="10">
        <v>5</v>
      </c>
    </row>
    <row r="78" spans="7:33" x14ac:dyDescent="0.25">
      <c r="G78" s="10" t="s">
        <v>124</v>
      </c>
      <c r="H78" s="10" t="s">
        <v>125</v>
      </c>
      <c r="I78" s="10" t="s">
        <v>364</v>
      </c>
      <c r="J78" s="10" t="s">
        <v>76</v>
      </c>
      <c r="K78" s="10" t="s">
        <v>365</v>
      </c>
      <c r="L78" s="10">
        <v>2</v>
      </c>
      <c r="M78" s="10" t="s">
        <v>78</v>
      </c>
      <c r="P78" s="10">
        <v>1</v>
      </c>
      <c r="Q78" s="10" t="s">
        <v>79</v>
      </c>
      <c r="R78" s="10">
        <v>120</v>
      </c>
      <c r="S78" s="10">
        <v>120</v>
      </c>
      <c r="T78" s="10">
        <v>60</v>
      </c>
      <c r="V78" s="10" t="s">
        <v>366</v>
      </c>
      <c r="W78" s="10" t="s">
        <v>367</v>
      </c>
      <c r="Z78" s="10" t="s">
        <v>95</v>
      </c>
      <c r="AD78" s="10">
        <v>0.75</v>
      </c>
      <c r="AF78" s="10" t="s">
        <v>96</v>
      </c>
      <c r="AG78" s="10">
        <v>5</v>
      </c>
    </row>
    <row r="79" spans="7:33" x14ac:dyDescent="0.25">
      <c r="G79" s="10" t="s">
        <v>124</v>
      </c>
      <c r="H79" s="10" t="s">
        <v>125</v>
      </c>
      <c r="I79" s="10" t="s">
        <v>368</v>
      </c>
      <c r="J79" s="10" t="s">
        <v>76</v>
      </c>
      <c r="K79" s="10" t="s">
        <v>369</v>
      </c>
      <c r="L79" s="10">
        <v>2</v>
      </c>
      <c r="M79" s="10" t="s">
        <v>78</v>
      </c>
      <c r="P79" s="10">
        <v>1</v>
      </c>
      <c r="Q79" s="10" t="s">
        <v>79</v>
      </c>
      <c r="R79" s="10">
        <v>220</v>
      </c>
      <c r="S79" s="10">
        <v>600</v>
      </c>
      <c r="T79" s="10">
        <v>430</v>
      </c>
      <c r="V79" s="10" t="s">
        <v>128</v>
      </c>
      <c r="W79" s="10" t="s">
        <v>370</v>
      </c>
      <c r="Z79" s="10" t="s">
        <v>95</v>
      </c>
      <c r="AD79" s="10">
        <v>0.75</v>
      </c>
      <c r="AF79" s="10" t="s">
        <v>96</v>
      </c>
      <c r="AG79" s="10">
        <v>8</v>
      </c>
    </row>
    <row r="80" spans="7:33" x14ac:dyDescent="0.25">
      <c r="G80" s="10" t="s">
        <v>124</v>
      </c>
      <c r="H80" s="10" t="s">
        <v>130</v>
      </c>
      <c r="I80" s="10" t="s">
        <v>131</v>
      </c>
      <c r="J80" s="10" t="s">
        <v>76</v>
      </c>
      <c r="K80" s="10" t="s">
        <v>132</v>
      </c>
      <c r="L80" s="10">
        <v>2</v>
      </c>
      <c r="M80" s="10" t="s">
        <v>78</v>
      </c>
      <c r="P80" s="10">
        <v>1</v>
      </c>
      <c r="Q80" s="10" t="s">
        <v>79</v>
      </c>
      <c r="U80" s="10">
        <v>27</v>
      </c>
      <c r="V80" s="10" t="s">
        <v>128</v>
      </c>
      <c r="W80" s="10" t="s">
        <v>133</v>
      </c>
      <c r="Z80" s="10" t="s">
        <v>95</v>
      </c>
      <c r="AD80" s="10">
        <v>0.75</v>
      </c>
      <c r="AF80" s="10" t="s">
        <v>96</v>
      </c>
      <c r="AG80" s="10">
        <v>5</v>
      </c>
    </row>
    <row r="81" spans="7:33" x14ac:dyDescent="0.25">
      <c r="G81" s="10" t="s">
        <v>124</v>
      </c>
      <c r="H81" s="10" t="s">
        <v>130</v>
      </c>
      <c r="I81" s="10" t="s">
        <v>131</v>
      </c>
      <c r="J81" s="10" t="s">
        <v>76</v>
      </c>
      <c r="K81" s="10" t="s">
        <v>206</v>
      </c>
      <c r="L81" s="10">
        <v>2</v>
      </c>
      <c r="M81" s="10" t="s">
        <v>78</v>
      </c>
      <c r="P81" s="10">
        <v>1</v>
      </c>
      <c r="Q81" s="10" t="s">
        <v>79</v>
      </c>
      <c r="U81" s="10">
        <v>27</v>
      </c>
      <c r="V81" s="10" t="s">
        <v>128</v>
      </c>
      <c r="W81" s="10" t="s">
        <v>207</v>
      </c>
      <c r="Z81" s="10" t="s">
        <v>95</v>
      </c>
      <c r="AD81" s="10">
        <v>0.75</v>
      </c>
      <c r="AF81" s="10" t="s">
        <v>96</v>
      </c>
      <c r="AG81" s="10">
        <v>5</v>
      </c>
    </row>
    <row r="82" spans="7:33" x14ac:dyDescent="0.25">
      <c r="G82" s="10" t="s">
        <v>124</v>
      </c>
      <c r="H82" s="10" t="s">
        <v>130</v>
      </c>
      <c r="I82" s="10" t="s">
        <v>131</v>
      </c>
      <c r="J82" s="10" t="s">
        <v>76</v>
      </c>
      <c r="K82" s="10" t="s">
        <v>371</v>
      </c>
      <c r="L82" s="10">
        <v>2</v>
      </c>
      <c r="M82" s="10" t="s">
        <v>78</v>
      </c>
      <c r="P82" s="10">
        <v>1</v>
      </c>
      <c r="Q82" s="10" t="s">
        <v>79</v>
      </c>
      <c r="U82" s="10">
        <v>34</v>
      </c>
      <c r="V82" s="10" t="s">
        <v>150</v>
      </c>
      <c r="W82" s="10" t="s">
        <v>372</v>
      </c>
      <c r="Z82" s="10" t="s">
        <v>95</v>
      </c>
      <c r="AD82" s="10">
        <v>0.75</v>
      </c>
      <c r="AF82" s="10" t="s">
        <v>96</v>
      </c>
      <c r="AG82" s="10">
        <v>5</v>
      </c>
    </row>
    <row r="83" spans="7:33" x14ac:dyDescent="0.25">
      <c r="G83" s="10" t="s">
        <v>124</v>
      </c>
      <c r="H83" s="10" t="s">
        <v>130</v>
      </c>
      <c r="I83" s="10" t="s">
        <v>134</v>
      </c>
      <c r="J83" s="10" t="s">
        <v>76</v>
      </c>
      <c r="K83" s="10" t="s">
        <v>135</v>
      </c>
      <c r="L83" s="10">
        <v>2</v>
      </c>
      <c r="M83" s="10" t="s">
        <v>78</v>
      </c>
      <c r="P83" s="10">
        <v>1</v>
      </c>
      <c r="Q83" s="10" t="s">
        <v>79</v>
      </c>
      <c r="R83" s="10">
        <v>580</v>
      </c>
      <c r="S83" s="10">
        <v>560</v>
      </c>
      <c r="T83" s="10">
        <v>680</v>
      </c>
      <c r="V83" s="10" t="s">
        <v>136</v>
      </c>
      <c r="W83" s="10" t="s">
        <v>137</v>
      </c>
      <c r="Z83" s="10" t="s">
        <v>139</v>
      </c>
      <c r="AD83" s="10">
        <v>0.75</v>
      </c>
      <c r="AF83" s="10" t="s">
        <v>96</v>
      </c>
      <c r="AG83" s="10">
        <v>8</v>
      </c>
    </row>
    <row r="84" spans="7:33" x14ac:dyDescent="0.25">
      <c r="G84" s="10" t="s">
        <v>124</v>
      </c>
      <c r="H84" s="10" t="s">
        <v>130</v>
      </c>
      <c r="I84" s="10" t="s">
        <v>134</v>
      </c>
      <c r="J84" s="10" t="s">
        <v>76</v>
      </c>
      <c r="K84" s="10" t="s">
        <v>373</v>
      </c>
      <c r="L84" s="10">
        <v>2</v>
      </c>
      <c r="M84" s="10" t="s">
        <v>78</v>
      </c>
      <c r="P84" s="10">
        <v>1</v>
      </c>
      <c r="Q84" s="10" t="s">
        <v>79</v>
      </c>
      <c r="R84" s="10">
        <v>420</v>
      </c>
      <c r="S84" s="10">
        <v>430</v>
      </c>
      <c r="T84" s="10">
        <v>450</v>
      </c>
      <c r="V84" s="10" t="s">
        <v>343</v>
      </c>
      <c r="W84" s="10" t="s">
        <v>374</v>
      </c>
      <c r="Z84" s="10" t="s">
        <v>105</v>
      </c>
      <c r="AD84" s="10">
        <v>0.75</v>
      </c>
      <c r="AF84" s="10" t="s">
        <v>96</v>
      </c>
      <c r="AG84" s="10">
        <v>8</v>
      </c>
    </row>
    <row r="85" spans="7:33" x14ac:dyDescent="0.25">
      <c r="G85" s="10" t="s">
        <v>124</v>
      </c>
      <c r="H85" s="10" t="s">
        <v>130</v>
      </c>
      <c r="I85" s="10" t="s">
        <v>375</v>
      </c>
      <c r="J85" s="10" t="s">
        <v>76</v>
      </c>
      <c r="K85" s="10" t="s">
        <v>376</v>
      </c>
      <c r="L85" s="10">
        <v>2</v>
      </c>
      <c r="M85" s="10" t="s">
        <v>78</v>
      </c>
      <c r="P85" s="10">
        <v>1</v>
      </c>
      <c r="Q85" s="10" t="s">
        <v>79</v>
      </c>
      <c r="R85" s="10">
        <v>440</v>
      </c>
      <c r="S85" s="10">
        <v>350</v>
      </c>
      <c r="T85" s="10">
        <v>180</v>
      </c>
      <c r="V85" s="10" t="s">
        <v>377</v>
      </c>
      <c r="W85" s="10" t="s">
        <v>378</v>
      </c>
      <c r="Z85" s="10" t="s">
        <v>105</v>
      </c>
      <c r="AD85" s="10">
        <v>0.75</v>
      </c>
      <c r="AF85" s="10" t="s">
        <v>96</v>
      </c>
      <c r="AG85" s="10">
        <v>8</v>
      </c>
    </row>
    <row r="86" spans="7:33" x14ac:dyDescent="0.25">
      <c r="G86" s="10" t="s">
        <v>124</v>
      </c>
      <c r="H86" s="10" t="s">
        <v>130</v>
      </c>
      <c r="I86" s="10" t="s">
        <v>379</v>
      </c>
      <c r="J86" s="10" t="s">
        <v>76</v>
      </c>
      <c r="K86" s="10" t="s">
        <v>380</v>
      </c>
      <c r="L86" s="10">
        <v>2</v>
      </c>
      <c r="M86" s="10" t="s">
        <v>78</v>
      </c>
      <c r="P86" s="10">
        <v>1</v>
      </c>
      <c r="Q86" s="10" t="s">
        <v>79</v>
      </c>
      <c r="R86" s="10">
        <v>490</v>
      </c>
      <c r="S86" s="10">
        <v>290</v>
      </c>
      <c r="T86" s="10">
        <v>120</v>
      </c>
      <c r="V86" s="10" t="s">
        <v>377</v>
      </c>
      <c r="W86" s="10" t="s">
        <v>381</v>
      </c>
      <c r="Z86" s="10" t="s">
        <v>105</v>
      </c>
      <c r="AD86" s="10">
        <v>0.75</v>
      </c>
      <c r="AF86" s="10" t="s">
        <v>96</v>
      </c>
      <c r="AG86" s="10">
        <v>8</v>
      </c>
    </row>
    <row r="87" spans="7:33" x14ac:dyDescent="0.25">
      <c r="G87" s="10" t="s">
        <v>124</v>
      </c>
      <c r="H87" s="10" t="s">
        <v>130</v>
      </c>
      <c r="I87" s="10" t="s">
        <v>382</v>
      </c>
      <c r="J87" s="10" t="s">
        <v>76</v>
      </c>
      <c r="K87" s="10" t="s">
        <v>383</v>
      </c>
      <c r="L87" s="10">
        <v>2</v>
      </c>
      <c r="M87" s="10" t="s">
        <v>78</v>
      </c>
      <c r="P87" s="10">
        <v>1</v>
      </c>
      <c r="Q87" s="10" t="s">
        <v>79</v>
      </c>
      <c r="R87" s="10">
        <v>290</v>
      </c>
      <c r="S87" s="10">
        <v>160</v>
      </c>
      <c r="T87" s="10">
        <v>170</v>
      </c>
      <c r="V87" s="10" t="s">
        <v>384</v>
      </c>
      <c r="W87" s="10" t="s">
        <v>385</v>
      </c>
      <c r="Z87" s="10" t="s">
        <v>95</v>
      </c>
      <c r="AD87" s="10">
        <v>0.75</v>
      </c>
      <c r="AF87" s="10" t="s">
        <v>96</v>
      </c>
      <c r="AG87" s="10">
        <v>8</v>
      </c>
    </row>
    <row r="88" spans="7:33" x14ac:dyDescent="0.25">
      <c r="G88" s="10" t="s">
        <v>124</v>
      </c>
      <c r="H88" s="10" t="s">
        <v>130</v>
      </c>
      <c r="I88" s="10" t="s">
        <v>386</v>
      </c>
      <c r="J88" s="10" t="s">
        <v>76</v>
      </c>
      <c r="K88" s="10" t="s">
        <v>387</v>
      </c>
      <c r="L88" s="10">
        <v>2</v>
      </c>
      <c r="M88" s="10" t="s">
        <v>78</v>
      </c>
      <c r="P88" s="10">
        <v>1</v>
      </c>
      <c r="Q88" s="10" t="s">
        <v>79</v>
      </c>
      <c r="R88" s="10">
        <v>430</v>
      </c>
      <c r="S88" s="10">
        <v>150</v>
      </c>
      <c r="T88" s="10">
        <v>35</v>
      </c>
      <c r="V88" s="10" t="s">
        <v>388</v>
      </c>
      <c r="W88" s="10" t="s">
        <v>389</v>
      </c>
      <c r="Z88" s="10" t="s">
        <v>95</v>
      </c>
      <c r="AD88" s="10">
        <v>0.75</v>
      </c>
      <c r="AF88" s="10" t="s">
        <v>96</v>
      </c>
      <c r="AG88" s="10">
        <v>5</v>
      </c>
    </row>
    <row r="89" spans="7:33" x14ac:dyDescent="0.25">
      <c r="G89" s="10" t="s">
        <v>124</v>
      </c>
      <c r="H89" s="10" t="s">
        <v>130</v>
      </c>
      <c r="I89" s="10" t="s">
        <v>390</v>
      </c>
      <c r="J89" s="10" t="s">
        <v>76</v>
      </c>
      <c r="K89" s="10" t="s">
        <v>391</v>
      </c>
      <c r="L89" s="10">
        <v>2</v>
      </c>
      <c r="M89" s="10" t="s">
        <v>78</v>
      </c>
      <c r="P89" s="10">
        <v>1</v>
      </c>
      <c r="Q89" s="10" t="s">
        <v>79</v>
      </c>
      <c r="R89" s="10">
        <v>120</v>
      </c>
      <c r="S89" s="10">
        <v>70</v>
      </c>
      <c r="T89" s="10">
        <v>45</v>
      </c>
      <c r="V89" s="10" t="s">
        <v>388</v>
      </c>
      <c r="W89" s="10" t="s">
        <v>392</v>
      </c>
      <c r="Z89" s="10" t="s">
        <v>95</v>
      </c>
      <c r="AD89" s="10">
        <v>0.75</v>
      </c>
      <c r="AF89" s="10" t="s">
        <v>96</v>
      </c>
      <c r="AG89" s="10">
        <v>5</v>
      </c>
    </row>
    <row r="90" spans="7:33" x14ac:dyDescent="0.25">
      <c r="G90" s="10" t="s">
        <v>124</v>
      </c>
      <c r="H90" s="10" t="s">
        <v>130</v>
      </c>
      <c r="I90" s="10" t="s">
        <v>393</v>
      </c>
      <c r="J90" s="10" t="s">
        <v>76</v>
      </c>
      <c r="K90" s="10" t="s">
        <v>394</v>
      </c>
      <c r="L90" s="10">
        <v>2</v>
      </c>
      <c r="M90" s="10" t="s">
        <v>78</v>
      </c>
      <c r="P90" s="10">
        <v>1</v>
      </c>
      <c r="Q90" s="10" t="s">
        <v>79</v>
      </c>
      <c r="R90" s="10">
        <v>100</v>
      </c>
      <c r="S90" s="10">
        <v>90</v>
      </c>
      <c r="T90" s="10">
        <v>80</v>
      </c>
      <c r="V90" s="10" t="s">
        <v>388</v>
      </c>
      <c r="W90" s="10" t="s">
        <v>395</v>
      </c>
      <c r="Z90" s="10" t="s">
        <v>95</v>
      </c>
      <c r="AD90" s="10">
        <v>0.75</v>
      </c>
      <c r="AF90" s="10" t="s">
        <v>96</v>
      </c>
      <c r="AG90" s="10">
        <v>5</v>
      </c>
    </row>
    <row r="91" spans="7:33" x14ac:dyDescent="0.25">
      <c r="G91" s="10" t="s">
        <v>124</v>
      </c>
      <c r="H91" s="10" t="s">
        <v>130</v>
      </c>
      <c r="I91" s="10" t="s">
        <v>396</v>
      </c>
      <c r="J91" s="10" t="s">
        <v>76</v>
      </c>
      <c r="K91" s="10" t="s">
        <v>397</v>
      </c>
      <c r="L91" s="10">
        <v>2</v>
      </c>
      <c r="M91" s="10" t="s">
        <v>78</v>
      </c>
      <c r="P91" s="10">
        <v>1</v>
      </c>
      <c r="Q91" s="10" t="s">
        <v>79</v>
      </c>
      <c r="R91" s="10">
        <v>330</v>
      </c>
      <c r="S91" s="10">
        <v>150</v>
      </c>
      <c r="T91" s="10">
        <v>220</v>
      </c>
      <c r="V91" s="10" t="s">
        <v>398</v>
      </c>
      <c r="W91" s="10" t="s">
        <v>399</v>
      </c>
      <c r="Z91" s="10" t="s">
        <v>95</v>
      </c>
      <c r="AD91" s="10">
        <v>0.75</v>
      </c>
      <c r="AF91" s="10" t="s">
        <v>96</v>
      </c>
      <c r="AG91" s="10">
        <v>8</v>
      </c>
    </row>
    <row r="92" spans="7:33" x14ac:dyDescent="0.25">
      <c r="G92" s="10" t="s">
        <v>124</v>
      </c>
      <c r="H92" s="10" t="s">
        <v>400</v>
      </c>
      <c r="I92" s="10" t="s">
        <v>401</v>
      </c>
      <c r="J92" s="10" t="s">
        <v>76</v>
      </c>
      <c r="K92" s="10" t="s">
        <v>402</v>
      </c>
      <c r="L92" s="10">
        <v>2</v>
      </c>
      <c r="M92" s="10" t="s">
        <v>78</v>
      </c>
      <c r="P92" s="10">
        <v>1</v>
      </c>
      <c r="Q92" s="10" t="s">
        <v>79</v>
      </c>
      <c r="R92" s="10">
        <v>440</v>
      </c>
      <c r="S92" s="10">
        <v>200</v>
      </c>
      <c r="T92" s="10">
        <v>44</v>
      </c>
      <c r="V92" s="10" t="s">
        <v>403</v>
      </c>
      <c r="W92" s="10" t="s">
        <v>404</v>
      </c>
      <c r="Z92" s="10" t="s">
        <v>95</v>
      </c>
      <c r="AD92" s="10">
        <v>0.75</v>
      </c>
      <c r="AF92" s="10" t="s">
        <v>96</v>
      </c>
      <c r="AG92" s="10">
        <v>8</v>
      </c>
    </row>
    <row r="93" spans="7:33" x14ac:dyDescent="0.25">
      <c r="G93" s="10" t="s">
        <v>124</v>
      </c>
      <c r="H93" s="10" t="s">
        <v>400</v>
      </c>
      <c r="I93" s="10" t="s">
        <v>405</v>
      </c>
      <c r="J93" s="10" t="s">
        <v>76</v>
      </c>
      <c r="K93" s="10" t="s">
        <v>406</v>
      </c>
      <c r="L93" s="10">
        <v>2</v>
      </c>
      <c r="M93" s="10" t="s">
        <v>78</v>
      </c>
      <c r="P93" s="10">
        <v>1</v>
      </c>
      <c r="Q93" s="10" t="s">
        <v>79</v>
      </c>
      <c r="R93" s="10">
        <v>220</v>
      </c>
      <c r="S93" s="10">
        <v>220</v>
      </c>
      <c r="T93" s="10">
        <v>50</v>
      </c>
      <c r="V93" s="10" t="s">
        <v>407</v>
      </c>
      <c r="W93" s="10" t="s">
        <v>408</v>
      </c>
      <c r="Z93" s="10" t="s">
        <v>105</v>
      </c>
      <c r="AD93" s="10">
        <v>0.75</v>
      </c>
      <c r="AF93" s="10" t="s">
        <v>96</v>
      </c>
      <c r="AG93" s="10">
        <v>8</v>
      </c>
    </row>
    <row r="94" spans="7:33" x14ac:dyDescent="0.25">
      <c r="G94" s="10" t="s">
        <v>124</v>
      </c>
      <c r="H94" s="10" t="s">
        <v>400</v>
      </c>
      <c r="I94" s="10" t="s">
        <v>409</v>
      </c>
      <c r="J94" s="10" t="s">
        <v>76</v>
      </c>
      <c r="K94" s="10" t="s">
        <v>410</v>
      </c>
      <c r="L94" s="10">
        <v>2</v>
      </c>
      <c r="M94" s="10" t="s">
        <v>78</v>
      </c>
      <c r="P94" s="10">
        <v>1</v>
      </c>
      <c r="Q94" s="10" t="s">
        <v>79</v>
      </c>
      <c r="R94" s="10">
        <v>480</v>
      </c>
      <c r="S94" s="10">
        <v>50</v>
      </c>
      <c r="T94" s="10">
        <v>44</v>
      </c>
      <c r="Z94" s="10" t="s">
        <v>95</v>
      </c>
      <c r="AD94" s="10">
        <v>0.75</v>
      </c>
      <c r="AF94" s="10" t="s">
        <v>96</v>
      </c>
      <c r="AG94" s="10">
        <v>10</v>
      </c>
    </row>
    <row r="95" spans="7:33" x14ac:dyDescent="0.25">
      <c r="G95" s="10" t="s">
        <v>124</v>
      </c>
      <c r="H95" s="10" t="s">
        <v>400</v>
      </c>
      <c r="I95" s="10" t="s">
        <v>411</v>
      </c>
      <c r="J95" s="10" t="s">
        <v>76</v>
      </c>
      <c r="K95" s="10" t="s">
        <v>412</v>
      </c>
      <c r="L95" s="10">
        <v>2</v>
      </c>
      <c r="M95" s="10" t="s">
        <v>78</v>
      </c>
      <c r="P95" s="10">
        <v>1</v>
      </c>
      <c r="Q95" s="10" t="s">
        <v>79</v>
      </c>
      <c r="R95" s="10">
        <v>230</v>
      </c>
      <c r="S95" s="10">
        <v>200</v>
      </c>
      <c r="T95" s="10">
        <v>150</v>
      </c>
      <c r="V95" s="10" t="s">
        <v>413</v>
      </c>
      <c r="W95" s="10" t="s">
        <v>414</v>
      </c>
      <c r="Z95" s="10" t="s">
        <v>95</v>
      </c>
      <c r="AD95" s="10">
        <v>0.75</v>
      </c>
      <c r="AF95" s="10" t="s">
        <v>96</v>
      </c>
      <c r="AG95" s="10">
        <v>8</v>
      </c>
    </row>
    <row r="96" spans="7:33" x14ac:dyDescent="0.25">
      <c r="G96" s="10" t="s">
        <v>124</v>
      </c>
      <c r="H96" s="10" t="s">
        <v>400</v>
      </c>
      <c r="I96" s="10" t="s">
        <v>411</v>
      </c>
      <c r="J96" s="10" t="s">
        <v>76</v>
      </c>
      <c r="K96" s="10" t="s">
        <v>415</v>
      </c>
      <c r="L96" s="10">
        <v>2</v>
      </c>
      <c r="M96" s="10" t="s">
        <v>78</v>
      </c>
      <c r="P96" s="10">
        <v>1</v>
      </c>
      <c r="Q96" s="10" t="s">
        <v>79</v>
      </c>
      <c r="R96" s="10">
        <v>250</v>
      </c>
      <c r="S96" s="10">
        <v>220</v>
      </c>
      <c r="T96" s="10">
        <v>180</v>
      </c>
      <c r="V96" s="10" t="s">
        <v>416</v>
      </c>
      <c r="W96" s="10" t="s">
        <v>417</v>
      </c>
      <c r="Z96" s="10" t="s">
        <v>95</v>
      </c>
      <c r="AD96" s="10">
        <v>0.75</v>
      </c>
      <c r="AF96" s="10" t="s">
        <v>96</v>
      </c>
      <c r="AG96" s="10">
        <v>8</v>
      </c>
    </row>
    <row r="97" spans="7:33" x14ac:dyDescent="0.25">
      <c r="G97" s="10" t="s">
        <v>124</v>
      </c>
      <c r="H97" s="10" t="s">
        <v>400</v>
      </c>
      <c r="I97" s="10" t="s">
        <v>418</v>
      </c>
      <c r="J97" s="10" t="s">
        <v>76</v>
      </c>
      <c r="K97" s="10" t="s">
        <v>419</v>
      </c>
      <c r="L97" s="10">
        <v>2</v>
      </c>
      <c r="M97" s="10" t="s">
        <v>78</v>
      </c>
      <c r="P97" s="10">
        <v>1</v>
      </c>
      <c r="Q97" s="10" t="s">
        <v>79</v>
      </c>
      <c r="R97" s="10">
        <v>440</v>
      </c>
      <c r="S97" s="10">
        <v>350</v>
      </c>
      <c r="T97" s="10">
        <v>44</v>
      </c>
      <c r="V97" s="10" t="s">
        <v>420</v>
      </c>
      <c r="Z97" s="10" t="s">
        <v>95</v>
      </c>
      <c r="AD97" s="10">
        <v>0.75</v>
      </c>
      <c r="AF97" s="10" t="s">
        <v>96</v>
      </c>
      <c r="AG97" s="10">
        <v>8</v>
      </c>
    </row>
    <row r="98" spans="7:33" x14ac:dyDescent="0.25">
      <c r="G98" s="10" t="s">
        <v>124</v>
      </c>
      <c r="H98" s="10" t="s">
        <v>400</v>
      </c>
      <c r="I98" s="10" t="s">
        <v>421</v>
      </c>
      <c r="J98" s="10" t="s">
        <v>76</v>
      </c>
      <c r="K98" s="10" t="s">
        <v>422</v>
      </c>
      <c r="L98" s="10">
        <v>2</v>
      </c>
      <c r="M98" s="10" t="s">
        <v>78</v>
      </c>
      <c r="P98" s="10">
        <v>1</v>
      </c>
      <c r="Q98" s="10" t="s">
        <v>79</v>
      </c>
      <c r="R98" s="10">
        <v>540</v>
      </c>
      <c r="S98" s="10">
        <v>400</v>
      </c>
      <c r="T98" s="10">
        <v>600</v>
      </c>
      <c r="Z98" s="10" t="s">
        <v>95</v>
      </c>
      <c r="AD98" s="10">
        <v>0.75</v>
      </c>
      <c r="AF98" s="10" t="s">
        <v>96</v>
      </c>
      <c r="AG98" s="10">
        <v>15</v>
      </c>
    </row>
    <row r="99" spans="7:33" x14ac:dyDescent="0.25">
      <c r="G99" s="10" t="s">
        <v>124</v>
      </c>
      <c r="H99" s="10" t="s">
        <v>400</v>
      </c>
      <c r="I99" s="10" t="s">
        <v>423</v>
      </c>
      <c r="J99" s="10" t="s">
        <v>76</v>
      </c>
      <c r="K99" s="10" t="s">
        <v>424</v>
      </c>
      <c r="L99" s="10">
        <v>2</v>
      </c>
      <c r="M99" s="10" t="s">
        <v>78</v>
      </c>
      <c r="P99" s="10">
        <v>1</v>
      </c>
      <c r="Q99" s="10" t="s">
        <v>79</v>
      </c>
      <c r="R99" s="10">
        <v>170</v>
      </c>
      <c r="S99" s="10">
        <v>230</v>
      </c>
      <c r="T99" s="10">
        <v>230</v>
      </c>
      <c r="V99" s="10" t="s">
        <v>425</v>
      </c>
      <c r="W99" s="10" t="s">
        <v>426</v>
      </c>
      <c r="Z99" s="10" t="s">
        <v>95</v>
      </c>
      <c r="AD99" s="10">
        <v>0.75</v>
      </c>
      <c r="AF99" s="10" t="s">
        <v>96</v>
      </c>
      <c r="AG99" s="10">
        <v>8</v>
      </c>
    </row>
    <row r="100" spans="7:33" x14ac:dyDescent="0.25">
      <c r="G100" s="10" t="s">
        <v>124</v>
      </c>
      <c r="H100" s="10" t="s">
        <v>400</v>
      </c>
      <c r="I100" s="10" t="s">
        <v>427</v>
      </c>
      <c r="J100" s="10" t="s">
        <v>76</v>
      </c>
      <c r="K100" s="10" t="s">
        <v>428</v>
      </c>
      <c r="L100" s="10">
        <v>2</v>
      </c>
      <c r="M100" s="10" t="s">
        <v>78</v>
      </c>
      <c r="P100" s="10">
        <v>1</v>
      </c>
      <c r="Q100" s="10" t="s">
        <v>79</v>
      </c>
      <c r="R100" s="10">
        <v>430</v>
      </c>
      <c r="S100" s="10">
        <v>200</v>
      </c>
      <c r="T100" s="10">
        <v>44</v>
      </c>
      <c r="V100" s="10" t="s">
        <v>429</v>
      </c>
      <c r="W100" s="10" t="s">
        <v>430</v>
      </c>
      <c r="Z100" s="10" t="s">
        <v>95</v>
      </c>
      <c r="AD100" s="10">
        <v>0.75</v>
      </c>
      <c r="AF100" s="10" t="s">
        <v>96</v>
      </c>
      <c r="AG100" s="10">
        <v>8</v>
      </c>
    </row>
    <row r="101" spans="7:33" x14ac:dyDescent="0.25">
      <c r="G101" s="10" t="s">
        <v>88</v>
      </c>
      <c r="H101" s="10" t="s">
        <v>89</v>
      </c>
      <c r="I101" s="10" t="s">
        <v>90</v>
      </c>
      <c r="J101" s="10" t="s">
        <v>76</v>
      </c>
      <c r="K101" s="10" t="s">
        <v>431</v>
      </c>
      <c r="L101" s="10">
        <v>2</v>
      </c>
      <c r="M101" s="10" t="s">
        <v>78</v>
      </c>
      <c r="P101" s="10">
        <v>1</v>
      </c>
      <c r="Q101" s="10" t="s">
        <v>79</v>
      </c>
      <c r="U101" s="10">
        <v>65</v>
      </c>
      <c r="V101" s="10" t="s">
        <v>92</v>
      </c>
      <c r="W101" s="10" t="s">
        <v>93</v>
      </c>
      <c r="Z101" s="10" t="s">
        <v>95</v>
      </c>
      <c r="AD101" s="10">
        <v>0.75</v>
      </c>
      <c r="AF101" s="10" t="s">
        <v>96</v>
      </c>
      <c r="AG101" s="10">
        <v>8</v>
      </c>
    </row>
    <row r="102" spans="7:33" x14ac:dyDescent="0.25">
      <c r="G102" s="10" t="s">
        <v>88</v>
      </c>
      <c r="H102" s="10" t="s">
        <v>89</v>
      </c>
      <c r="I102" s="10" t="s">
        <v>90</v>
      </c>
      <c r="J102" s="10" t="s">
        <v>76</v>
      </c>
      <c r="K102" s="10" t="s">
        <v>149</v>
      </c>
      <c r="L102" s="10">
        <v>2</v>
      </c>
      <c r="M102" s="10" t="s">
        <v>78</v>
      </c>
      <c r="P102" s="10">
        <v>1</v>
      </c>
      <c r="Q102" s="10" t="s">
        <v>79</v>
      </c>
      <c r="U102" s="10">
        <v>75</v>
      </c>
      <c r="V102" s="10" t="s">
        <v>150</v>
      </c>
      <c r="W102" s="10" t="s">
        <v>151</v>
      </c>
      <c r="Z102" s="10" t="s">
        <v>95</v>
      </c>
      <c r="AD102" s="10">
        <v>0.75</v>
      </c>
      <c r="AF102" s="10" t="s">
        <v>96</v>
      </c>
      <c r="AG102" s="10">
        <v>8</v>
      </c>
    </row>
    <row r="103" spans="7:33" x14ac:dyDescent="0.25">
      <c r="G103" s="10" t="s">
        <v>88</v>
      </c>
      <c r="H103" s="10" t="s">
        <v>89</v>
      </c>
      <c r="I103" s="10" t="s">
        <v>90</v>
      </c>
      <c r="J103" s="10" t="s">
        <v>76</v>
      </c>
      <c r="K103" s="10" t="s">
        <v>432</v>
      </c>
      <c r="L103" s="10">
        <v>2</v>
      </c>
      <c r="M103" s="10" t="s">
        <v>78</v>
      </c>
      <c r="P103" s="10">
        <v>1</v>
      </c>
      <c r="Q103" s="10" t="s">
        <v>79</v>
      </c>
      <c r="U103" s="10">
        <v>85</v>
      </c>
      <c r="V103" s="10" t="s">
        <v>92</v>
      </c>
      <c r="W103" s="10" t="s">
        <v>433</v>
      </c>
      <c r="Z103" s="10" t="s">
        <v>95</v>
      </c>
      <c r="AD103" s="10">
        <v>0.75</v>
      </c>
      <c r="AF103" s="10" t="s">
        <v>96</v>
      </c>
      <c r="AG103" s="10">
        <v>8</v>
      </c>
    </row>
    <row r="104" spans="7:33" x14ac:dyDescent="0.25">
      <c r="G104" s="10" t="s">
        <v>88</v>
      </c>
      <c r="H104" s="10" t="s">
        <v>89</v>
      </c>
      <c r="I104" s="10" t="s">
        <v>230</v>
      </c>
      <c r="J104" s="10" t="s">
        <v>76</v>
      </c>
      <c r="K104" s="10" t="s">
        <v>434</v>
      </c>
      <c r="L104" s="10">
        <v>2</v>
      </c>
      <c r="M104" s="10" t="s">
        <v>78</v>
      </c>
      <c r="P104" s="10">
        <v>1</v>
      </c>
      <c r="Q104" s="10" t="s">
        <v>79</v>
      </c>
      <c r="U104" s="10">
        <v>55</v>
      </c>
      <c r="V104" s="10" t="s">
        <v>92</v>
      </c>
      <c r="W104" s="10" t="s">
        <v>232</v>
      </c>
      <c r="Z104" s="10" t="s">
        <v>95</v>
      </c>
      <c r="AD104" s="10">
        <v>0.75</v>
      </c>
      <c r="AF104" s="10" t="s">
        <v>96</v>
      </c>
      <c r="AG104" s="10">
        <v>8</v>
      </c>
    </row>
    <row r="105" spans="7:33" x14ac:dyDescent="0.25">
      <c r="G105" s="10" t="s">
        <v>88</v>
      </c>
      <c r="H105" s="10" t="s">
        <v>89</v>
      </c>
      <c r="I105" s="10" t="s">
        <v>230</v>
      </c>
      <c r="J105" s="10" t="s">
        <v>76</v>
      </c>
      <c r="K105" s="10" t="s">
        <v>435</v>
      </c>
      <c r="L105" s="10">
        <v>2</v>
      </c>
      <c r="M105" s="10" t="s">
        <v>78</v>
      </c>
      <c r="P105" s="10">
        <v>1</v>
      </c>
      <c r="Q105" s="10" t="s">
        <v>79</v>
      </c>
      <c r="U105" s="10">
        <v>49</v>
      </c>
      <c r="V105" s="10" t="s">
        <v>150</v>
      </c>
      <c r="W105" s="10" t="s">
        <v>436</v>
      </c>
      <c r="Z105" s="10" t="s">
        <v>95</v>
      </c>
      <c r="AD105" s="10">
        <v>0.75</v>
      </c>
      <c r="AF105" s="10" t="s">
        <v>96</v>
      </c>
      <c r="AG105" s="10">
        <v>8</v>
      </c>
    </row>
    <row r="106" spans="7:33" x14ac:dyDescent="0.25">
      <c r="G106" s="10" t="s">
        <v>88</v>
      </c>
      <c r="H106" s="10" t="s">
        <v>89</v>
      </c>
      <c r="I106" s="10" t="s">
        <v>437</v>
      </c>
      <c r="J106" s="10" t="s">
        <v>76</v>
      </c>
      <c r="K106" s="10" t="s">
        <v>438</v>
      </c>
      <c r="L106" s="10">
        <v>2</v>
      </c>
      <c r="M106" s="10" t="s">
        <v>78</v>
      </c>
      <c r="P106" s="10">
        <v>1</v>
      </c>
      <c r="Q106" s="10" t="s">
        <v>79</v>
      </c>
      <c r="R106" s="10">
        <v>500</v>
      </c>
      <c r="S106" s="10">
        <v>380</v>
      </c>
      <c r="T106" s="10">
        <v>150</v>
      </c>
      <c r="V106" s="10" t="s">
        <v>377</v>
      </c>
      <c r="W106" s="10" t="s">
        <v>439</v>
      </c>
      <c r="Z106" s="10" t="s">
        <v>105</v>
      </c>
      <c r="AD106" s="10">
        <v>0.75</v>
      </c>
      <c r="AF106" s="10" t="s">
        <v>96</v>
      </c>
      <c r="AG106" s="10">
        <v>10</v>
      </c>
    </row>
    <row r="107" spans="7:33" x14ac:dyDescent="0.25">
      <c r="G107" s="10" t="s">
        <v>88</v>
      </c>
      <c r="H107" s="10" t="s">
        <v>89</v>
      </c>
      <c r="I107" s="10" t="s">
        <v>440</v>
      </c>
      <c r="J107" s="10" t="s">
        <v>76</v>
      </c>
      <c r="K107" s="10" t="s">
        <v>441</v>
      </c>
      <c r="L107" s="10">
        <v>2</v>
      </c>
      <c r="M107" s="10" t="s">
        <v>78</v>
      </c>
      <c r="P107" s="10">
        <v>1</v>
      </c>
      <c r="Q107" s="10" t="s">
        <v>79</v>
      </c>
      <c r="R107" s="10">
        <v>2800</v>
      </c>
      <c r="S107" s="10">
        <v>80</v>
      </c>
      <c r="T107" s="10">
        <v>120</v>
      </c>
      <c r="V107" s="10" t="s">
        <v>442</v>
      </c>
      <c r="Z107" s="10" t="s">
        <v>105</v>
      </c>
      <c r="AD107" s="10">
        <v>0.75</v>
      </c>
      <c r="AF107" s="10" t="s">
        <v>96</v>
      </c>
      <c r="AG107" s="10">
        <v>15</v>
      </c>
    </row>
    <row r="108" spans="7:33" x14ac:dyDescent="0.25">
      <c r="G108" s="10" t="s">
        <v>88</v>
      </c>
      <c r="H108" s="10" t="s">
        <v>89</v>
      </c>
      <c r="I108" s="10" t="s">
        <v>443</v>
      </c>
      <c r="J108" s="10" t="s">
        <v>76</v>
      </c>
      <c r="K108" s="10" t="s">
        <v>444</v>
      </c>
      <c r="L108" s="10">
        <v>2</v>
      </c>
      <c r="M108" s="10" t="s">
        <v>78</v>
      </c>
      <c r="P108" s="10">
        <v>1</v>
      </c>
      <c r="Q108" s="10" t="s">
        <v>445</v>
      </c>
      <c r="R108" s="10">
        <v>1800</v>
      </c>
      <c r="S108" s="10">
        <v>100</v>
      </c>
      <c r="T108" s="10">
        <v>1200</v>
      </c>
      <c r="Z108" s="10" t="s">
        <v>95</v>
      </c>
      <c r="AD108" s="10">
        <v>0.75</v>
      </c>
      <c r="AF108" s="10" t="s">
        <v>96</v>
      </c>
      <c r="AG108" s="10">
        <v>10</v>
      </c>
    </row>
    <row r="109" spans="7:33" x14ac:dyDescent="0.25">
      <c r="G109" s="10" t="s">
        <v>88</v>
      </c>
      <c r="H109" s="10" t="s">
        <v>89</v>
      </c>
      <c r="I109" s="10" t="s">
        <v>446</v>
      </c>
      <c r="J109" s="10" t="s">
        <v>76</v>
      </c>
      <c r="K109" s="10" t="s">
        <v>447</v>
      </c>
      <c r="L109" s="10">
        <v>2</v>
      </c>
      <c r="M109" s="10" t="s">
        <v>78</v>
      </c>
      <c r="P109" s="10">
        <v>1</v>
      </c>
      <c r="Q109" s="10" t="s">
        <v>79</v>
      </c>
      <c r="U109" s="10">
        <v>86</v>
      </c>
      <c r="V109" s="10" t="s">
        <v>448</v>
      </c>
      <c r="W109" s="10" t="s">
        <v>449</v>
      </c>
      <c r="Z109" s="10" t="s">
        <v>95</v>
      </c>
      <c r="AD109" s="10">
        <v>0.75</v>
      </c>
      <c r="AF109" s="10" t="s">
        <v>96</v>
      </c>
      <c r="AG109" s="10">
        <v>10</v>
      </c>
    </row>
    <row r="110" spans="7:33" x14ac:dyDescent="0.25">
      <c r="G110" s="10" t="s">
        <v>88</v>
      </c>
      <c r="H110" s="10" t="s">
        <v>153</v>
      </c>
      <c r="I110" s="10" t="s">
        <v>154</v>
      </c>
      <c r="J110" s="10" t="s">
        <v>76</v>
      </c>
      <c r="K110" s="10" t="s">
        <v>450</v>
      </c>
      <c r="L110" s="10">
        <v>2</v>
      </c>
      <c r="M110" s="10" t="s">
        <v>78</v>
      </c>
      <c r="P110" s="10">
        <v>1</v>
      </c>
      <c r="Q110" s="10" t="s">
        <v>79</v>
      </c>
      <c r="R110" s="10">
        <v>700</v>
      </c>
      <c r="S110" s="10">
        <v>150</v>
      </c>
      <c r="T110" s="10">
        <v>100</v>
      </c>
      <c r="V110" s="10" t="s">
        <v>156</v>
      </c>
      <c r="W110" s="10" t="s">
        <v>157</v>
      </c>
      <c r="Z110" s="10" t="s">
        <v>95</v>
      </c>
      <c r="AD110" s="10">
        <v>0.75</v>
      </c>
      <c r="AF110" s="10" t="s">
        <v>96</v>
      </c>
      <c r="AG110" s="10">
        <v>8</v>
      </c>
    </row>
    <row r="111" spans="7:33" x14ac:dyDescent="0.25">
      <c r="G111" s="10" t="s">
        <v>88</v>
      </c>
      <c r="H111" s="10" t="s">
        <v>153</v>
      </c>
      <c r="I111" s="10" t="s">
        <v>154</v>
      </c>
      <c r="J111" s="10" t="s">
        <v>76</v>
      </c>
      <c r="K111" s="10" t="s">
        <v>451</v>
      </c>
      <c r="L111" s="10">
        <v>2</v>
      </c>
      <c r="M111" s="10" t="s">
        <v>78</v>
      </c>
      <c r="P111" s="10">
        <v>1</v>
      </c>
      <c r="Q111" s="10" t="s">
        <v>79</v>
      </c>
      <c r="R111" s="10">
        <v>600</v>
      </c>
      <c r="S111" s="10">
        <v>100</v>
      </c>
      <c r="T111" s="10">
        <v>80</v>
      </c>
      <c r="V111" s="10" t="s">
        <v>388</v>
      </c>
      <c r="W111" s="10" t="s">
        <v>452</v>
      </c>
      <c r="Z111" s="10" t="s">
        <v>453</v>
      </c>
      <c r="AD111" s="10">
        <v>0.75</v>
      </c>
      <c r="AF111" s="10" t="s">
        <v>96</v>
      </c>
      <c r="AG111" s="10">
        <v>8</v>
      </c>
    </row>
    <row r="112" spans="7:33" x14ac:dyDescent="0.25">
      <c r="G112" s="10" t="s">
        <v>88</v>
      </c>
      <c r="H112" s="10" t="s">
        <v>153</v>
      </c>
      <c r="I112" s="10" t="s">
        <v>454</v>
      </c>
      <c r="J112" s="10" t="s">
        <v>76</v>
      </c>
      <c r="K112" s="10" t="s">
        <v>455</v>
      </c>
      <c r="L112" s="10">
        <v>2</v>
      </c>
      <c r="M112" s="10" t="s">
        <v>78</v>
      </c>
      <c r="P112" s="10">
        <v>1</v>
      </c>
      <c r="Q112" s="10" t="s">
        <v>79</v>
      </c>
      <c r="R112" s="10">
        <v>200</v>
      </c>
      <c r="S112" s="10">
        <v>200</v>
      </c>
      <c r="T112" s="10">
        <v>180</v>
      </c>
      <c r="V112" s="10" t="s">
        <v>156</v>
      </c>
      <c r="W112" s="10" t="s">
        <v>456</v>
      </c>
      <c r="Z112" s="10" t="s">
        <v>95</v>
      </c>
      <c r="AD112" s="10">
        <v>0.75</v>
      </c>
      <c r="AF112" s="10" t="s">
        <v>96</v>
      </c>
      <c r="AG112" s="10">
        <v>8</v>
      </c>
    </row>
    <row r="113" spans="7:33" x14ac:dyDescent="0.25">
      <c r="G113" s="10" t="s">
        <v>88</v>
      </c>
      <c r="H113" s="10" t="s">
        <v>153</v>
      </c>
      <c r="I113" s="10" t="s">
        <v>457</v>
      </c>
      <c r="J113" s="10" t="s">
        <v>76</v>
      </c>
      <c r="K113" s="10" t="s">
        <v>458</v>
      </c>
      <c r="L113" s="10">
        <v>2</v>
      </c>
      <c r="M113" s="10" t="s">
        <v>78</v>
      </c>
      <c r="P113" s="10">
        <v>1</v>
      </c>
      <c r="Q113" s="10" t="s">
        <v>79</v>
      </c>
      <c r="R113" s="10">
        <v>200</v>
      </c>
      <c r="S113" s="10">
        <v>200</v>
      </c>
      <c r="T113" s="10">
        <v>50</v>
      </c>
      <c r="V113" s="10" t="s">
        <v>156</v>
      </c>
      <c r="W113" s="10" t="s">
        <v>459</v>
      </c>
      <c r="Z113" s="10" t="s">
        <v>95</v>
      </c>
      <c r="AD113" s="10">
        <v>0.75</v>
      </c>
      <c r="AF113" s="10" t="s">
        <v>96</v>
      </c>
      <c r="AG113" s="10">
        <v>8</v>
      </c>
    </row>
    <row r="114" spans="7:33" x14ac:dyDescent="0.25">
      <c r="G114" s="10" t="s">
        <v>88</v>
      </c>
      <c r="H114" s="10" t="s">
        <v>153</v>
      </c>
      <c r="I114" s="10" t="s">
        <v>460</v>
      </c>
      <c r="J114" s="10" t="s">
        <v>76</v>
      </c>
      <c r="K114" s="10" t="s">
        <v>461</v>
      </c>
      <c r="L114" s="10">
        <v>2</v>
      </c>
      <c r="M114" s="10" t="s">
        <v>78</v>
      </c>
      <c r="P114" s="10">
        <v>1</v>
      </c>
      <c r="Q114" s="10" t="s">
        <v>79</v>
      </c>
      <c r="R114" s="10">
        <v>330</v>
      </c>
      <c r="S114" s="10">
        <v>220</v>
      </c>
      <c r="T114" s="10">
        <v>55</v>
      </c>
      <c r="V114" s="10" t="s">
        <v>403</v>
      </c>
      <c r="W114" s="10" t="s">
        <v>462</v>
      </c>
      <c r="Z114" s="10" t="s">
        <v>95</v>
      </c>
      <c r="AD114" s="10">
        <v>0.75</v>
      </c>
      <c r="AF114" s="10" t="s">
        <v>96</v>
      </c>
      <c r="AG114" s="10">
        <v>8</v>
      </c>
    </row>
    <row r="115" spans="7:33" x14ac:dyDescent="0.25">
      <c r="G115" s="10" t="s">
        <v>88</v>
      </c>
      <c r="H115" s="10" t="s">
        <v>153</v>
      </c>
      <c r="I115" s="10" t="s">
        <v>463</v>
      </c>
      <c r="J115" s="10" t="s">
        <v>76</v>
      </c>
      <c r="K115" s="10" t="s">
        <v>464</v>
      </c>
      <c r="L115" s="10">
        <v>2</v>
      </c>
      <c r="M115" s="10" t="s">
        <v>78</v>
      </c>
      <c r="P115" s="10">
        <v>1</v>
      </c>
      <c r="Q115" s="10" t="s">
        <v>79</v>
      </c>
      <c r="R115" s="10">
        <v>260</v>
      </c>
      <c r="S115" s="10">
        <v>120</v>
      </c>
      <c r="T115" s="10">
        <v>20</v>
      </c>
      <c r="V115" s="10" t="s">
        <v>465</v>
      </c>
      <c r="W115" s="10" t="s">
        <v>466</v>
      </c>
      <c r="Z115" s="10" t="s">
        <v>95</v>
      </c>
      <c r="AD115" s="10">
        <v>0.75</v>
      </c>
      <c r="AF115" s="10" t="s">
        <v>96</v>
      </c>
      <c r="AG115" s="10">
        <v>8</v>
      </c>
    </row>
    <row r="116" spans="7:33" x14ac:dyDescent="0.25">
      <c r="G116" s="10" t="s">
        <v>88</v>
      </c>
      <c r="H116" s="10" t="s">
        <v>467</v>
      </c>
      <c r="I116" s="10" t="s">
        <v>468</v>
      </c>
      <c r="J116" s="10" t="s">
        <v>76</v>
      </c>
      <c r="K116" s="10" t="s">
        <v>469</v>
      </c>
      <c r="L116" s="10">
        <v>2</v>
      </c>
      <c r="M116" s="10" t="s">
        <v>78</v>
      </c>
      <c r="P116" s="10">
        <v>1</v>
      </c>
      <c r="Q116" s="10" t="s">
        <v>79</v>
      </c>
      <c r="R116" s="10">
        <v>175</v>
      </c>
      <c r="S116" s="10">
        <v>175</v>
      </c>
      <c r="T116" s="10">
        <v>100</v>
      </c>
      <c r="Z116" s="10" t="s">
        <v>105</v>
      </c>
      <c r="AD116" s="10">
        <v>0.75</v>
      </c>
      <c r="AF116" s="10" t="s">
        <v>96</v>
      </c>
      <c r="AG116" s="10">
        <v>15</v>
      </c>
    </row>
    <row r="117" spans="7:33" x14ac:dyDescent="0.25">
      <c r="G117" s="10" t="s">
        <v>88</v>
      </c>
      <c r="H117" s="10" t="s">
        <v>467</v>
      </c>
      <c r="I117" s="10" t="s">
        <v>470</v>
      </c>
      <c r="J117" s="10" t="s">
        <v>76</v>
      </c>
      <c r="K117" s="10" t="s">
        <v>471</v>
      </c>
      <c r="L117" s="10">
        <v>2</v>
      </c>
      <c r="M117" s="10" t="s">
        <v>78</v>
      </c>
      <c r="P117" s="10">
        <v>1</v>
      </c>
      <c r="Q117" s="10" t="s">
        <v>79</v>
      </c>
      <c r="R117" s="10">
        <v>480</v>
      </c>
      <c r="S117" s="10">
        <v>300</v>
      </c>
      <c r="T117" s="10">
        <v>90</v>
      </c>
      <c r="Z117" s="10" t="s">
        <v>95</v>
      </c>
      <c r="AD117" s="10">
        <v>0.75</v>
      </c>
      <c r="AF117" s="10" t="s">
        <v>96</v>
      </c>
      <c r="AG117" s="10">
        <v>15</v>
      </c>
    </row>
    <row r="118" spans="7:33" x14ac:dyDescent="0.25">
      <c r="G118" s="10" t="s">
        <v>88</v>
      </c>
      <c r="H118" s="10" t="s">
        <v>467</v>
      </c>
      <c r="I118" s="10" t="s">
        <v>472</v>
      </c>
      <c r="J118" s="10" t="s">
        <v>76</v>
      </c>
      <c r="K118" s="10" t="s">
        <v>473</v>
      </c>
      <c r="L118" s="10">
        <v>2</v>
      </c>
      <c r="M118" s="10" t="s">
        <v>78</v>
      </c>
      <c r="P118" s="10">
        <v>1</v>
      </c>
      <c r="Q118" s="10" t="s">
        <v>445</v>
      </c>
      <c r="R118" s="10">
        <v>250</v>
      </c>
      <c r="S118" s="10">
        <v>180</v>
      </c>
      <c r="T118" s="10">
        <v>90</v>
      </c>
      <c r="V118" s="10" t="s">
        <v>474</v>
      </c>
      <c r="W118" s="10" t="s">
        <v>475</v>
      </c>
      <c r="Z118" s="10" t="s">
        <v>95</v>
      </c>
      <c r="AD118" s="10">
        <v>0.75</v>
      </c>
      <c r="AF118" s="10" t="s">
        <v>96</v>
      </c>
      <c r="AG118" s="10">
        <v>10</v>
      </c>
    </row>
    <row r="119" spans="7:33" x14ac:dyDescent="0.25">
      <c r="G119" s="10" t="s">
        <v>88</v>
      </c>
      <c r="H119" s="10" t="s">
        <v>467</v>
      </c>
      <c r="I119" s="10" t="s">
        <v>472</v>
      </c>
      <c r="J119" s="10" t="s">
        <v>76</v>
      </c>
      <c r="K119" s="10" t="s">
        <v>476</v>
      </c>
      <c r="L119" s="10">
        <v>2</v>
      </c>
      <c r="M119" s="10" t="s">
        <v>78</v>
      </c>
      <c r="P119" s="10">
        <v>1</v>
      </c>
      <c r="Q119" s="10" t="s">
        <v>445</v>
      </c>
      <c r="R119" s="10">
        <v>100</v>
      </c>
      <c r="S119" s="10">
        <v>60</v>
      </c>
      <c r="T119" s="10">
        <v>30</v>
      </c>
      <c r="V119" s="10" t="s">
        <v>474</v>
      </c>
      <c r="W119" s="10" t="s">
        <v>477</v>
      </c>
      <c r="Z119" s="10" t="s">
        <v>95</v>
      </c>
      <c r="AD119" s="10">
        <v>0.75</v>
      </c>
      <c r="AF119" s="10" t="s">
        <v>96</v>
      </c>
      <c r="AG119" s="10">
        <v>10</v>
      </c>
    </row>
    <row r="120" spans="7:33" x14ac:dyDescent="0.25">
      <c r="G120" s="10" t="s">
        <v>88</v>
      </c>
      <c r="H120" s="10" t="s">
        <v>467</v>
      </c>
      <c r="I120" s="10" t="s">
        <v>478</v>
      </c>
      <c r="J120" s="10" t="s">
        <v>76</v>
      </c>
      <c r="K120" s="10" t="s">
        <v>479</v>
      </c>
      <c r="L120" s="10">
        <v>2</v>
      </c>
      <c r="M120" s="10" t="s">
        <v>78</v>
      </c>
      <c r="P120" s="10">
        <v>1</v>
      </c>
      <c r="Q120" s="10" t="s">
        <v>79</v>
      </c>
      <c r="R120" s="10">
        <v>430</v>
      </c>
      <c r="S120" s="10">
        <v>320</v>
      </c>
      <c r="T120" s="10">
        <v>160</v>
      </c>
      <c r="V120" s="10" t="s">
        <v>480</v>
      </c>
      <c r="W120" s="10" t="s">
        <v>481</v>
      </c>
      <c r="Z120" s="10" t="s">
        <v>95</v>
      </c>
      <c r="AD120" s="10">
        <v>0.75</v>
      </c>
      <c r="AF120" s="10" t="s">
        <v>96</v>
      </c>
      <c r="AG120" s="10">
        <v>10</v>
      </c>
    </row>
    <row r="121" spans="7:33" x14ac:dyDescent="0.25">
      <c r="G121" s="10" t="s">
        <v>88</v>
      </c>
      <c r="H121" s="10" t="s">
        <v>467</v>
      </c>
      <c r="I121" s="10" t="s">
        <v>482</v>
      </c>
      <c r="J121" s="10" t="s">
        <v>76</v>
      </c>
      <c r="K121" s="10" t="s">
        <v>483</v>
      </c>
      <c r="L121" s="10">
        <v>2</v>
      </c>
      <c r="M121" s="10" t="s">
        <v>78</v>
      </c>
      <c r="P121" s="10">
        <v>1</v>
      </c>
      <c r="Q121" s="10" t="s">
        <v>79</v>
      </c>
      <c r="R121" s="10">
        <v>900</v>
      </c>
      <c r="S121" s="10">
        <v>80</v>
      </c>
      <c r="T121" s="10">
        <v>80</v>
      </c>
      <c r="V121" s="10" t="s">
        <v>484</v>
      </c>
      <c r="W121" s="10" t="s">
        <v>485</v>
      </c>
      <c r="Z121" s="10" t="s">
        <v>95</v>
      </c>
      <c r="AD121" s="10">
        <v>0.75</v>
      </c>
      <c r="AF121" s="10" t="s">
        <v>96</v>
      </c>
      <c r="AG121" s="10">
        <v>10</v>
      </c>
    </row>
    <row r="122" spans="7:33" x14ac:dyDescent="0.25">
      <c r="G122" s="10" t="s">
        <v>88</v>
      </c>
      <c r="H122" s="10" t="s">
        <v>486</v>
      </c>
      <c r="I122" s="10" t="s">
        <v>487</v>
      </c>
      <c r="J122" s="10" t="s">
        <v>76</v>
      </c>
      <c r="K122" s="10" t="s">
        <v>488</v>
      </c>
      <c r="L122" s="10">
        <v>2</v>
      </c>
      <c r="M122" s="10" t="s">
        <v>78</v>
      </c>
      <c r="P122" s="10">
        <v>1</v>
      </c>
      <c r="Q122" s="10" t="s">
        <v>79</v>
      </c>
      <c r="R122" s="10">
        <v>480</v>
      </c>
      <c r="S122" s="10">
        <v>300</v>
      </c>
      <c r="T122" s="10">
        <v>44</v>
      </c>
      <c r="V122" s="10" t="s">
        <v>465</v>
      </c>
      <c r="W122" s="10" t="s">
        <v>489</v>
      </c>
      <c r="Z122" s="10" t="s">
        <v>95</v>
      </c>
      <c r="AD122" s="10">
        <v>0.75</v>
      </c>
      <c r="AF122" s="10" t="s">
        <v>96</v>
      </c>
      <c r="AG122" s="10">
        <v>10</v>
      </c>
    </row>
    <row r="123" spans="7:33" x14ac:dyDescent="0.25">
      <c r="G123" s="10" t="s">
        <v>88</v>
      </c>
      <c r="H123" s="10" t="s">
        <v>486</v>
      </c>
      <c r="I123" s="10" t="s">
        <v>490</v>
      </c>
      <c r="J123" s="10" t="s">
        <v>76</v>
      </c>
      <c r="K123" s="10" t="s">
        <v>491</v>
      </c>
      <c r="L123" s="10">
        <v>2</v>
      </c>
      <c r="M123" s="10" t="s">
        <v>78</v>
      </c>
      <c r="P123" s="10">
        <v>1</v>
      </c>
      <c r="Q123" s="10" t="s">
        <v>79</v>
      </c>
      <c r="R123" s="10">
        <v>160</v>
      </c>
      <c r="S123" s="10">
        <v>80</v>
      </c>
      <c r="T123" s="10">
        <v>25</v>
      </c>
      <c r="Z123" s="10" t="s">
        <v>95</v>
      </c>
      <c r="AD123" s="10">
        <v>0.75</v>
      </c>
      <c r="AF123" s="10" t="s">
        <v>96</v>
      </c>
      <c r="AG123" s="10">
        <v>8</v>
      </c>
    </row>
    <row r="124" spans="7:33" x14ac:dyDescent="0.25">
      <c r="G124" s="10" t="s">
        <v>88</v>
      </c>
      <c r="H124" s="10" t="s">
        <v>486</v>
      </c>
      <c r="I124" s="10" t="s">
        <v>492</v>
      </c>
      <c r="J124" s="10" t="s">
        <v>76</v>
      </c>
      <c r="K124" s="10" t="s">
        <v>493</v>
      </c>
      <c r="L124" s="10">
        <v>2</v>
      </c>
      <c r="M124" s="10" t="s">
        <v>78</v>
      </c>
      <c r="P124" s="10">
        <v>1</v>
      </c>
      <c r="Q124" s="10" t="s">
        <v>79</v>
      </c>
      <c r="R124" s="10">
        <v>430</v>
      </c>
      <c r="S124" s="10">
        <v>250</v>
      </c>
      <c r="T124" s="10">
        <v>44</v>
      </c>
      <c r="V124" s="10" t="s">
        <v>465</v>
      </c>
      <c r="W124" s="10" t="s">
        <v>494</v>
      </c>
      <c r="Z124" s="10" t="s">
        <v>95</v>
      </c>
      <c r="AD124" s="10">
        <v>0.75</v>
      </c>
      <c r="AF124" s="10" t="s">
        <v>96</v>
      </c>
      <c r="AG124" s="10">
        <v>10</v>
      </c>
    </row>
    <row r="125" spans="7:33" x14ac:dyDescent="0.25">
      <c r="G125" s="10" t="s">
        <v>88</v>
      </c>
      <c r="H125" s="10" t="s">
        <v>486</v>
      </c>
      <c r="I125" s="10" t="s">
        <v>495</v>
      </c>
      <c r="J125" s="10" t="s">
        <v>76</v>
      </c>
      <c r="K125" s="10" t="s">
        <v>496</v>
      </c>
      <c r="L125" s="10">
        <v>2</v>
      </c>
      <c r="M125" s="10" t="s">
        <v>78</v>
      </c>
      <c r="P125" s="10">
        <v>1</v>
      </c>
      <c r="Q125" s="10" t="s">
        <v>79</v>
      </c>
      <c r="R125" s="10">
        <v>200</v>
      </c>
      <c r="S125" s="10">
        <v>200</v>
      </c>
      <c r="T125" s="10">
        <v>40</v>
      </c>
      <c r="Z125" s="10" t="s">
        <v>95</v>
      </c>
      <c r="AD125" s="10">
        <v>0.75</v>
      </c>
      <c r="AF125" s="10" t="s">
        <v>96</v>
      </c>
      <c r="AG125" s="10">
        <v>5</v>
      </c>
    </row>
    <row r="126" spans="7:33" x14ac:dyDescent="0.25">
      <c r="G126" s="10" t="s">
        <v>162</v>
      </c>
      <c r="H126" s="10" t="s">
        <v>163</v>
      </c>
      <c r="I126" s="10" t="s">
        <v>164</v>
      </c>
      <c r="J126" s="10" t="s">
        <v>76</v>
      </c>
      <c r="K126" s="10" t="s">
        <v>165</v>
      </c>
      <c r="L126" s="10">
        <v>2</v>
      </c>
      <c r="M126" s="10" t="s">
        <v>78</v>
      </c>
      <c r="P126" s="10">
        <v>1</v>
      </c>
      <c r="Q126" s="10" t="s">
        <v>79</v>
      </c>
      <c r="R126" s="10">
        <v>750</v>
      </c>
      <c r="S126" s="10">
        <v>680</v>
      </c>
      <c r="T126" s="10">
        <v>1780</v>
      </c>
      <c r="V126" s="10" t="s">
        <v>166</v>
      </c>
      <c r="W126" s="10" t="s">
        <v>167</v>
      </c>
      <c r="Z126" s="10" t="s">
        <v>169</v>
      </c>
      <c r="AD126" s="10">
        <v>0.75</v>
      </c>
      <c r="AF126" s="10" t="s">
        <v>96</v>
      </c>
      <c r="AG126" s="10">
        <v>12</v>
      </c>
    </row>
    <row r="127" spans="7:33" x14ac:dyDescent="0.25">
      <c r="G127" s="10" t="s">
        <v>162</v>
      </c>
      <c r="H127" s="10" t="s">
        <v>163</v>
      </c>
      <c r="I127" s="10" t="s">
        <v>164</v>
      </c>
      <c r="J127" s="10" t="s">
        <v>76</v>
      </c>
      <c r="K127" s="10" t="s">
        <v>497</v>
      </c>
      <c r="L127" s="10">
        <v>2</v>
      </c>
      <c r="M127" s="10" t="s">
        <v>78</v>
      </c>
      <c r="P127" s="10">
        <v>1</v>
      </c>
      <c r="Q127" s="10" t="s">
        <v>79</v>
      </c>
      <c r="R127" s="10">
        <v>595</v>
      </c>
      <c r="S127" s="10">
        <v>600</v>
      </c>
      <c r="T127" s="10">
        <v>870</v>
      </c>
      <c r="Z127" s="10" t="s">
        <v>169</v>
      </c>
      <c r="AD127" s="10">
        <v>0.75</v>
      </c>
      <c r="AF127" s="10" t="s">
        <v>96</v>
      </c>
      <c r="AG127" s="10">
        <v>10</v>
      </c>
    </row>
    <row r="128" spans="7:33" x14ac:dyDescent="0.25">
      <c r="G128" s="10" t="s">
        <v>162</v>
      </c>
      <c r="H128" s="10" t="s">
        <v>163</v>
      </c>
      <c r="I128" s="10" t="s">
        <v>164</v>
      </c>
      <c r="J128" s="10" t="s">
        <v>76</v>
      </c>
      <c r="K128" s="10" t="s">
        <v>498</v>
      </c>
      <c r="L128" s="10">
        <v>2</v>
      </c>
      <c r="M128" s="10" t="s">
        <v>78</v>
      </c>
      <c r="P128" s="10">
        <v>1</v>
      </c>
      <c r="Q128" s="10" t="s">
        <v>79</v>
      </c>
      <c r="R128" s="10">
        <v>600</v>
      </c>
      <c r="S128" s="10">
        <v>600</v>
      </c>
      <c r="T128" s="10">
        <v>1850</v>
      </c>
      <c r="Z128" s="10" t="s">
        <v>169</v>
      </c>
      <c r="AD128" s="10">
        <v>0.75</v>
      </c>
      <c r="AF128" s="10" t="s">
        <v>96</v>
      </c>
      <c r="AG128" s="10">
        <v>12</v>
      </c>
    </row>
    <row r="129" spans="7:33" x14ac:dyDescent="0.25">
      <c r="G129" s="10" t="s">
        <v>162</v>
      </c>
      <c r="H129" s="10" t="s">
        <v>163</v>
      </c>
      <c r="I129" s="10" t="s">
        <v>170</v>
      </c>
      <c r="J129" s="10" t="s">
        <v>76</v>
      </c>
      <c r="K129" s="10" t="s">
        <v>171</v>
      </c>
      <c r="L129" s="10">
        <v>2</v>
      </c>
      <c r="M129" s="10" t="s">
        <v>78</v>
      </c>
      <c r="P129" s="10">
        <v>1</v>
      </c>
      <c r="Q129" s="10" t="s">
        <v>79</v>
      </c>
      <c r="R129" s="10">
        <v>600</v>
      </c>
      <c r="S129" s="10">
        <v>610</v>
      </c>
      <c r="T129" s="10">
        <v>850</v>
      </c>
      <c r="V129" s="10" t="s">
        <v>172</v>
      </c>
      <c r="W129" s="10" t="s">
        <v>173</v>
      </c>
      <c r="Z129" s="10" t="s">
        <v>105</v>
      </c>
      <c r="AD129" s="10">
        <v>0.75</v>
      </c>
      <c r="AF129" s="10" t="s">
        <v>96</v>
      </c>
      <c r="AG129" s="10">
        <v>12</v>
      </c>
    </row>
    <row r="130" spans="7:33" x14ac:dyDescent="0.25">
      <c r="G130" s="10" t="s">
        <v>162</v>
      </c>
      <c r="H130" s="10" t="s">
        <v>163</v>
      </c>
      <c r="I130" s="10" t="s">
        <v>170</v>
      </c>
      <c r="J130" s="10" t="s">
        <v>76</v>
      </c>
      <c r="K130" s="10" t="s">
        <v>499</v>
      </c>
      <c r="L130" s="10">
        <v>2</v>
      </c>
      <c r="M130" s="10" t="s">
        <v>78</v>
      </c>
      <c r="P130" s="10">
        <v>1</v>
      </c>
      <c r="Q130" s="10" t="s">
        <v>79</v>
      </c>
      <c r="R130" s="10">
        <v>600</v>
      </c>
      <c r="S130" s="10">
        <v>620</v>
      </c>
      <c r="T130" s="10">
        <v>850</v>
      </c>
      <c r="V130" s="10" t="s">
        <v>500</v>
      </c>
      <c r="W130" s="10" t="s">
        <v>501</v>
      </c>
      <c r="Z130" s="10" t="s">
        <v>169</v>
      </c>
      <c r="AD130" s="10">
        <v>0.75</v>
      </c>
      <c r="AF130" s="10" t="s">
        <v>96</v>
      </c>
      <c r="AG130" s="10">
        <v>12</v>
      </c>
    </row>
    <row r="131" spans="7:33" x14ac:dyDescent="0.25">
      <c r="G131" s="10" t="s">
        <v>162</v>
      </c>
      <c r="H131" s="10" t="s">
        <v>163</v>
      </c>
      <c r="I131" s="10" t="s">
        <v>175</v>
      </c>
      <c r="J131" s="10" t="s">
        <v>76</v>
      </c>
      <c r="K131" s="10" t="s">
        <v>176</v>
      </c>
      <c r="L131" s="10">
        <v>2</v>
      </c>
      <c r="M131" s="10" t="s">
        <v>78</v>
      </c>
      <c r="P131" s="10">
        <v>1</v>
      </c>
      <c r="Q131" s="10" t="s">
        <v>79</v>
      </c>
      <c r="R131" s="10">
        <v>510</v>
      </c>
      <c r="S131" s="10">
        <v>430</v>
      </c>
      <c r="T131" s="10">
        <v>310</v>
      </c>
      <c r="V131" s="10" t="s">
        <v>177</v>
      </c>
      <c r="W131" s="10" t="s">
        <v>178</v>
      </c>
      <c r="Z131" s="10" t="s">
        <v>105</v>
      </c>
      <c r="AD131" s="10">
        <v>0.75</v>
      </c>
      <c r="AF131" s="10" t="s">
        <v>96</v>
      </c>
      <c r="AG131" s="10">
        <v>10</v>
      </c>
    </row>
    <row r="132" spans="7:33" x14ac:dyDescent="0.25">
      <c r="G132" s="10" t="s">
        <v>162</v>
      </c>
      <c r="H132" s="10" t="s">
        <v>163</v>
      </c>
      <c r="I132" s="10" t="s">
        <v>175</v>
      </c>
      <c r="J132" s="10" t="s">
        <v>76</v>
      </c>
      <c r="K132" s="10" t="s">
        <v>502</v>
      </c>
      <c r="L132" s="10">
        <v>2</v>
      </c>
      <c r="M132" s="10" t="s">
        <v>78</v>
      </c>
      <c r="P132" s="10">
        <v>1</v>
      </c>
      <c r="Q132" s="10" t="s">
        <v>79</v>
      </c>
      <c r="R132" s="10">
        <v>540</v>
      </c>
      <c r="S132" s="10">
        <v>450</v>
      </c>
      <c r="T132" s="10">
        <v>310</v>
      </c>
      <c r="V132" s="10" t="s">
        <v>177</v>
      </c>
      <c r="W132" s="10" t="s">
        <v>503</v>
      </c>
      <c r="Z132" s="10" t="s">
        <v>169</v>
      </c>
      <c r="AD132" s="10">
        <v>0.75</v>
      </c>
      <c r="AF132" s="10" t="s">
        <v>96</v>
      </c>
      <c r="AG132" s="10">
        <v>10</v>
      </c>
    </row>
    <row r="133" spans="7:33" x14ac:dyDescent="0.25">
      <c r="G133" s="10" t="s">
        <v>162</v>
      </c>
      <c r="H133" s="10" t="s">
        <v>163</v>
      </c>
      <c r="I133" s="10" t="s">
        <v>179</v>
      </c>
      <c r="J133" s="10" t="s">
        <v>76</v>
      </c>
      <c r="K133" s="10" t="s">
        <v>180</v>
      </c>
      <c r="L133" s="10">
        <v>2</v>
      </c>
      <c r="M133" s="10" t="s">
        <v>78</v>
      </c>
      <c r="P133" s="10">
        <v>1</v>
      </c>
      <c r="Q133" s="10" t="s">
        <v>79</v>
      </c>
      <c r="R133" s="10">
        <v>280</v>
      </c>
      <c r="S133" s="10">
        <v>380</v>
      </c>
      <c r="T133" s="10">
        <v>360</v>
      </c>
      <c r="V133" s="10" t="s">
        <v>181</v>
      </c>
      <c r="W133" s="10" t="s">
        <v>182</v>
      </c>
      <c r="Z133" s="10" t="s">
        <v>184</v>
      </c>
      <c r="AA133" s="10" t="s">
        <v>185</v>
      </c>
      <c r="AD133" s="10">
        <v>0.75</v>
      </c>
      <c r="AF133" s="10" t="s">
        <v>96</v>
      </c>
      <c r="AG133" s="10">
        <v>10</v>
      </c>
    </row>
    <row r="134" spans="7:33" x14ac:dyDescent="0.25">
      <c r="G134" s="10" t="s">
        <v>162</v>
      </c>
      <c r="H134" s="10" t="s">
        <v>163</v>
      </c>
      <c r="I134" s="10" t="s">
        <v>179</v>
      </c>
      <c r="J134" s="10" t="s">
        <v>76</v>
      </c>
      <c r="K134" s="10" t="s">
        <v>504</v>
      </c>
      <c r="L134" s="10">
        <v>2</v>
      </c>
      <c r="M134" s="10" t="s">
        <v>78</v>
      </c>
      <c r="P134" s="10">
        <v>1</v>
      </c>
      <c r="Q134" s="10" t="s">
        <v>79</v>
      </c>
      <c r="R134" s="10">
        <v>350</v>
      </c>
      <c r="S134" s="10">
        <v>450</v>
      </c>
      <c r="T134" s="10">
        <v>620</v>
      </c>
      <c r="V134" s="10" t="s">
        <v>505</v>
      </c>
      <c r="W134" s="10" t="s">
        <v>506</v>
      </c>
      <c r="Z134" s="10" t="s">
        <v>245</v>
      </c>
      <c r="AD134" s="10">
        <v>0.75</v>
      </c>
      <c r="AF134" s="10" t="s">
        <v>96</v>
      </c>
      <c r="AG134" s="10">
        <v>10</v>
      </c>
    </row>
    <row r="135" spans="7:33" x14ac:dyDescent="0.25">
      <c r="G135" s="10" t="s">
        <v>162</v>
      </c>
      <c r="H135" s="10" t="s">
        <v>163</v>
      </c>
      <c r="I135" s="10" t="s">
        <v>507</v>
      </c>
      <c r="J135" s="10" t="s">
        <v>76</v>
      </c>
      <c r="K135" s="10" t="s">
        <v>508</v>
      </c>
      <c r="L135" s="10">
        <v>2</v>
      </c>
      <c r="M135" s="10" t="s">
        <v>78</v>
      </c>
      <c r="P135" s="10">
        <v>1</v>
      </c>
      <c r="Q135" s="10" t="s">
        <v>79</v>
      </c>
      <c r="R135" s="10">
        <v>280</v>
      </c>
      <c r="S135" s="10">
        <v>320</v>
      </c>
      <c r="T135" s="10">
        <v>300</v>
      </c>
      <c r="V135" s="10" t="s">
        <v>509</v>
      </c>
      <c r="W135" s="10" t="s">
        <v>510</v>
      </c>
      <c r="Z135" s="10" t="s">
        <v>95</v>
      </c>
      <c r="AD135" s="10">
        <v>0.75</v>
      </c>
      <c r="AF135" s="10" t="s">
        <v>96</v>
      </c>
      <c r="AG135" s="10">
        <v>8</v>
      </c>
    </row>
    <row r="136" spans="7:33" x14ac:dyDescent="0.25">
      <c r="G136" s="10" t="s">
        <v>162</v>
      </c>
      <c r="H136" s="10" t="s">
        <v>163</v>
      </c>
      <c r="I136" s="10" t="s">
        <v>186</v>
      </c>
      <c r="J136" s="10" t="s">
        <v>76</v>
      </c>
      <c r="K136" s="10" t="s">
        <v>187</v>
      </c>
      <c r="L136" s="10">
        <v>2</v>
      </c>
      <c r="M136" s="10" t="s">
        <v>78</v>
      </c>
      <c r="P136" s="10">
        <v>1</v>
      </c>
      <c r="Q136" s="10" t="s">
        <v>79</v>
      </c>
      <c r="R136" s="10">
        <v>300</v>
      </c>
      <c r="S136" s="10">
        <v>370</v>
      </c>
      <c r="T136" s="10">
        <v>1100</v>
      </c>
      <c r="V136" s="10" t="s">
        <v>188</v>
      </c>
      <c r="W136" s="10" t="s">
        <v>189</v>
      </c>
      <c r="Z136" s="10" t="s">
        <v>191</v>
      </c>
      <c r="AD136" s="10">
        <v>0.75</v>
      </c>
      <c r="AF136" s="10" t="s">
        <v>96</v>
      </c>
      <c r="AG136" s="10">
        <v>12</v>
      </c>
    </row>
    <row r="137" spans="7:33" x14ac:dyDescent="0.25">
      <c r="G137" s="10" t="s">
        <v>162</v>
      </c>
      <c r="H137" s="10" t="s">
        <v>163</v>
      </c>
      <c r="I137" s="10" t="s">
        <v>186</v>
      </c>
      <c r="J137" s="10" t="s">
        <v>76</v>
      </c>
      <c r="K137" s="10" t="s">
        <v>511</v>
      </c>
      <c r="L137" s="10">
        <v>2</v>
      </c>
      <c r="M137" s="10" t="s">
        <v>78</v>
      </c>
      <c r="P137" s="10">
        <v>1</v>
      </c>
      <c r="Q137" s="10" t="s">
        <v>79</v>
      </c>
      <c r="R137" s="10">
        <v>360</v>
      </c>
      <c r="S137" s="10">
        <v>320</v>
      </c>
      <c r="T137" s="10">
        <v>1300</v>
      </c>
      <c r="V137" s="10" t="s">
        <v>188</v>
      </c>
      <c r="W137" s="10" t="s">
        <v>512</v>
      </c>
      <c r="Z137" s="10" t="s">
        <v>105</v>
      </c>
      <c r="AD137" s="10">
        <v>0.75</v>
      </c>
      <c r="AF137" s="10" t="s">
        <v>96</v>
      </c>
      <c r="AG137" s="10">
        <v>10</v>
      </c>
    </row>
    <row r="138" spans="7:33" x14ac:dyDescent="0.25">
      <c r="G138" s="10" t="s">
        <v>162</v>
      </c>
      <c r="H138" s="10" t="s">
        <v>163</v>
      </c>
      <c r="I138" s="10" t="s">
        <v>513</v>
      </c>
      <c r="J138" s="10" t="s">
        <v>76</v>
      </c>
      <c r="K138" s="10" t="s">
        <v>514</v>
      </c>
      <c r="L138" s="10">
        <v>2</v>
      </c>
      <c r="M138" s="10" t="s">
        <v>78</v>
      </c>
      <c r="P138" s="10">
        <v>1</v>
      </c>
      <c r="Q138" s="10" t="s">
        <v>79</v>
      </c>
      <c r="R138" s="10">
        <v>260</v>
      </c>
      <c r="S138" s="10">
        <v>200</v>
      </c>
      <c r="T138" s="10">
        <v>260</v>
      </c>
      <c r="Z138" s="10" t="s">
        <v>169</v>
      </c>
      <c r="AD138" s="10">
        <v>0.75</v>
      </c>
      <c r="AF138" s="10" t="s">
        <v>96</v>
      </c>
      <c r="AG138" s="10">
        <v>8</v>
      </c>
    </row>
    <row r="139" spans="7:33" x14ac:dyDescent="0.25">
      <c r="G139" s="10" t="s">
        <v>162</v>
      </c>
      <c r="H139" s="10" t="s">
        <v>163</v>
      </c>
      <c r="I139" s="10" t="s">
        <v>515</v>
      </c>
      <c r="J139" s="10" t="s">
        <v>76</v>
      </c>
      <c r="K139" s="10" t="s">
        <v>516</v>
      </c>
      <c r="L139" s="10">
        <v>2</v>
      </c>
      <c r="M139" s="10" t="s">
        <v>78</v>
      </c>
      <c r="P139" s="10">
        <v>1</v>
      </c>
      <c r="Q139" s="10" t="s">
        <v>79</v>
      </c>
      <c r="R139" s="10">
        <v>360</v>
      </c>
      <c r="S139" s="10">
        <v>200</v>
      </c>
      <c r="T139" s="10">
        <v>200</v>
      </c>
      <c r="Z139" s="10" t="s">
        <v>169</v>
      </c>
      <c r="AD139" s="10">
        <v>0.75</v>
      </c>
      <c r="AF139" s="10" t="s">
        <v>96</v>
      </c>
      <c r="AG139" s="10">
        <v>8</v>
      </c>
    </row>
    <row r="140" spans="7:33" x14ac:dyDescent="0.25">
      <c r="G140" s="10" t="s">
        <v>162</v>
      </c>
      <c r="H140" s="10" t="s">
        <v>517</v>
      </c>
      <c r="I140" s="10" t="s">
        <v>518</v>
      </c>
      <c r="J140" s="10" t="s">
        <v>76</v>
      </c>
      <c r="K140" s="10" t="s">
        <v>519</v>
      </c>
      <c r="L140" s="10">
        <v>2</v>
      </c>
      <c r="M140" s="10" t="s">
        <v>78</v>
      </c>
      <c r="P140" s="10">
        <v>1</v>
      </c>
      <c r="Q140" s="10" t="s">
        <v>79</v>
      </c>
      <c r="R140" s="10">
        <v>600</v>
      </c>
      <c r="S140" s="10">
        <v>580</v>
      </c>
      <c r="T140" s="10">
        <v>850</v>
      </c>
      <c r="V140" s="10" t="s">
        <v>520</v>
      </c>
      <c r="W140" s="10" t="s">
        <v>521</v>
      </c>
      <c r="Z140" s="10" t="s">
        <v>105</v>
      </c>
      <c r="AD140" s="10">
        <v>0.75</v>
      </c>
      <c r="AF140" s="10" t="s">
        <v>96</v>
      </c>
      <c r="AG140" s="10">
        <v>12</v>
      </c>
    </row>
    <row r="141" spans="7:33" x14ac:dyDescent="0.25">
      <c r="G141" s="10" t="s">
        <v>162</v>
      </c>
      <c r="H141" s="10" t="s">
        <v>517</v>
      </c>
      <c r="I141" s="10" t="s">
        <v>522</v>
      </c>
      <c r="J141" s="10" t="s">
        <v>76</v>
      </c>
      <c r="K141" s="10" t="s">
        <v>523</v>
      </c>
      <c r="L141" s="10">
        <v>2</v>
      </c>
      <c r="M141" s="10" t="s">
        <v>78</v>
      </c>
      <c r="P141" s="10">
        <v>1</v>
      </c>
      <c r="Q141" s="10" t="s">
        <v>79</v>
      </c>
      <c r="R141" s="10">
        <v>600</v>
      </c>
      <c r="S141" s="10">
        <v>580</v>
      </c>
      <c r="T141" s="10">
        <v>850</v>
      </c>
      <c r="V141" s="10" t="s">
        <v>520</v>
      </c>
      <c r="W141" s="10" t="s">
        <v>524</v>
      </c>
      <c r="Z141" s="10" t="s">
        <v>105</v>
      </c>
      <c r="AD141" s="10">
        <v>0.75</v>
      </c>
      <c r="AF141" s="10" t="s">
        <v>96</v>
      </c>
      <c r="AG141" s="10">
        <v>12</v>
      </c>
    </row>
    <row r="142" spans="7:33" x14ac:dyDescent="0.25">
      <c r="G142" s="10" t="s">
        <v>162</v>
      </c>
      <c r="H142" s="10" t="s">
        <v>517</v>
      </c>
      <c r="I142" s="10" t="s">
        <v>525</v>
      </c>
      <c r="J142" s="10" t="s">
        <v>76</v>
      </c>
      <c r="K142" s="10" t="s">
        <v>526</v>
      </c>
      <c r="L142" s="10">
        <v>2</v>
      </c>
      <c r="M142" s="10" t="s">
        <v>78</v>
      </c>
      <c r="P142" s="10">
        <v>1</v>
      </c>
      <c r="Q142" s="10" t="s">
        <v>79</v>
      </c>
      <c r="R142" s="10">
        <v>1400</v>
      </c>
      <c r="S142" s="10">
        <v>400</v>
      </c>
      <c r="T142" s="10">
        <v>950</v>
      </c>
      <c r="Z142" s="10" t="s">
        <v>527</v>
      </c>
      <c r="AD142" s="10">
        <v>0.75</v>
      </c>
      <c r="AF142" s="10" t="s">
        <v>82</v>
      </c>
      <c r="AG142" s="10">
        <v>10</v>
      </c>
    </row>
    <row r="143" spans="7:33" x14ac:dyDescent="0.25">
      <c r="G143" s="10" t="s">
        <v>238</v>
      </c>
      <c r="H143" s="10" t="s">
        <v>239</v>
      </c>
      <c r="I143" s="10" t="s">
        <v>240</v>
      </c>
      <c r="J143" s="10" t="s">
        <v>76</v>
      </c>
      <c r="K143" s="10" t="s">
        <v>241</v>
      </c>
      <c r="L143" s="10">
        <v>2</v>
      </c>
      <c r="M143" s="10" t="s">
        <v>78</v>
      </c>
      <c r="P143" s="10">
        <v>1</v>
      </c>
      <c r="Q143" s="10" t="s">
        <v>79</v>
      </c>
      <c r="R143" s="10">
        <v>360</v>
      </c>
      <c r="S143" s="10">
        <v>230</v>
      </c>
      <c r="T143" s="10">
        <v>580</v>
      </c>
      <c r="V143" s="10" t="s">
        <v>242</v>
      </c>
      <c r="W143" s="10" t="s">
        <v>243</v>
      </c>
      <c r="Z143" s="10" t="s">
        <v>245</v>
      </c>
      <c r="AD143" s="10">
        <v>0.75</v>
      </c>
      <c r="AF143" s="10" t="s">
        <v>96</v>
      </c>
      <c r="AG143" s="10">
        <v>10</v>
      </c>
    </row>
    <row r="144" spans="7:33" x14ac:dyDescent="0.25">
      <c r="G144" s="10" t="s">
        <v>238</v>
      </c>
      <c r="H144" s="10" t="s">
        <v>239</v>
      </c>
      <c r="I144" s="10" t="s">
        <v>240</v>
      </c>
      <c r="J144" s="10" t="s">
        <v>76</v>
      </c>
      <c r="K144" s="10" t="s">
        <v>528</v>
      </c>
      <c r="L144" s="10">
        <v>2</v>
      </c>
      <c r="M144" s="10" t="s">
        <v>78</v>
      </c>
      <c r="P144" s="10">
        <v>1</v>
      </c>
      <c r="Q144" s="10" t="s">
        <v>79</v>
      </c>
      <c r="R144" s="10">
        <v>400</v>
      </c>
      <c r="S144" s="10">
        <v>280</v>
      </c>
      <c r="T144" s="10">
        <v>620</v>
      </c>
      <c r="V144" s="10" t="s">
        <v>242</v>
      </c>
      <c r="W144" s="10" t="s">
        <v>529</v>
      </c>
      <c r="Z144" s="10" t="s">
        <v>245</v>
      </c>
      <c r="AD144" s="10">
        <v>0.75</v>
      </c>
      <c r="AF144" s="10" t="s">
        <v>96</v>
      </c>
      <c r="AG144" s="10">
        <v>10</v>
      </c>
    </row>
    <row r="145" spans="7:33" x14ac:dyDescent="0.25">
      <c r="G145" s="10" t="s">
        <v>238</v>
      </c>
      <c r="H145" s="10" t="s">
        <v>239</v>
      </c>
      <c r="I145" s="10" t="s">
        <v>530</v>
      </c>
      <c r="J145" s="10" t="s">
        <v>76</v>
      </c>
      <c r="K145" s="10" t="s">
        <v>531</v>
      </c>
      <c r="L145" s="10">
        <v>2</v>
      </c>
      <c r="M145" s="10" t="s">
        <v>78</v>
      </c>
      <c r="P145" s="10">
        <v>1</v>
      </c>
      <c r="Q145" s="10" t="s">
        <v>79</v>
      </c>
      <c r="R145" s="10">
        <v>540</v>
      </c>
      <c r="S145" s="10">
        <v>170</v>
      </c>
      <c r="T145" s="10">
        <v>75</v>
      </c>
      <c r="Z145" s="10" t="s">
        <v>222</v>
      </c>
      <c r="AD145" s="10">
        <v>0.75</v>
      </c>
      <c r="AF145" s="10" t="s">
        <v>96</v>
      </c>
      <c r="AG145" s="10">
        <v>10</v>
      </c>
    </row>
    <row r="146" spans="7:33" x14ac:dyDescent="0.25">
      <c r="G146" s="10" t="s">
        <v>238</v>
      </c>
      <c r="H146" s="10" t="s">
        <v>239</v>
      </c>
      <c r="I146" s="10" t="s">
        <v>532</v>
      </c>
      <c r="J146" s="10" t="s">
        <v>76</v>
      </c>
      <c r="K146" s="10" t="s">
        <v>533</v>
      </c>
      <c r="L146" s="10">
        <v>2</v>
      </c>
      <c r="M146" s="10" t="s">
        <v>78</v>
      </c>
      <c r="P146" s="10">
        <v>1</v>
      </c>
      <c r="Q146" s="10" t="s">
        <v>79</v>
      </c>
      <c r="R146" s="10">
        <v>380</v>
      </c>
      <c r="S146" s="10">
        <v>300</v>
      </c>
      <c r="T146" s="10">
        <v>300</v>
      </c>
      <c r="Z146" s="10" t="s">
        <v>222</v>
      </c>
      <c r="AD146" s="10">
        <v>0.75</v>
      </c>
      <c r="AF146" s="10" t="s">
        <v>96</v>
      </c>
      <c r="AG146" s="10">
        <v>10</v>
      </c>
    </row>
    <row r="147" spans="7:33" x14ac:dyDescent="0.25">
      <c r="G147" s="10" t="s">
        <v>238</v>
      </c>
      <c r="H147" s="10" t="s">
        <v>239</v>
      </c>
      <c r="I147" s="10" t="s">
        <v>534</v>
      </c>
      <c r="J147" s="10" t="s">
        <v>76</v>
      </c>
      <c r="K147" s="10" t="s">
        <v>535</v>
      </c>
      <c r="L147" s="10">
        <v>2</v>
      </c>
      <c r="M147" s="10" t="s">
        <v>78</v>
      </c>
      <c r="P147" s="10">
        <v>1</v>
      </c>
      <c r="Q147" s="10" t="s">
        <v>79</v>
      </c>
      <c r="R147" s="10">
        <v>350</v>
      </c>
      <c r="S147" s="10">
        <v>250</v>
      </c>
      <c r="T147" s="10">
        <v>200</v>
      </c>
      <c r="V147" s="10" t="s">
        <v>536</v>
      </c>
      <c r="W147" s="10" t="s">
        <v>537</v>
      </c>
      <c r="Z147" s="10" t="s">
        <v>222</v>
      </c>
      <c r="AD147" s="10">
        <v>0.75</v>
      </c>
      <c r="AF147" s="10" t="s">
        <v>96</v>
      </c>
      <c r="AG147" s="10">
        <v>8</v>
      </c>
    </row>
    <row r="148" spans="7:33" x14ac:dyDescent="0.25">
      <c r="G148" s="10" t="s">
        <v>238</v>
      </c>
      <c r="H148" s="10" t="s">
        <v>239</v>
      </c>
      <c r="I148" s="10" t="s">
        <v>538</v>
      </c>
      <c r="J148" s="10" t="s">
        <v>76</v>
      </c>
      <c r="K148" s="10" t="s">
        <v>539</v>
      </c>
      <c r="L148" s="10">
        <v>2</v>
      </c>
      <c r="M148" s="10" t="s">
        <v>78</v>
      </c>
      <c r="P148" s="10">
        <v>1</v>
      </c>
      <c r="Q148" s="10" t="s">
        <v>79</v>
      </c>
      <c r="R148" s="10">
        <v>200</v>
      </c>
      <c r="S148" s="10">
        <v>140</v>
      </c>
      <c r="T148" s="10">
        <v>180</v>
      </c>
      <c r="V148" s="10" t="s">
        <v>540</v>
      </c>
      <c r="W148" s="10" t="s">
        <v>541</v>
      </c>
      <c r="Z148" s="10" t="s">
        <v>95</v>
      </c>
      <c r="AD148" s="10">
        <v>0.75</v>
      </c>
      <c r="AF148" s="10" t="s">
        <v>96</v>
      </c>
      <c r="AG148" s="10">
        <v>8</v>
      </c>
    </row>
    <row r="149" spans="7:33" x14ac:dyDescent="0.25">
      <c r="G149" s="10" t="s">
        <v>238</v>
      </c>
      <c r="H149" s="10" t="s">
        <v>542</v>
      </c>
      <c r="I149" s="10" t="s">
        <v>543</v>
      </c>
      <c r="J149" s="10" t="s">
        <v>76</v>
      </c>
      <c r="K149" s="10" t="s">
        <v>544</v>
      </c>
      <c r="L149" s="10">
        <v>2</v>
      </c>
      <c r="M149" s="10" t="s">
        <v>78</v>
      </c>
      <c r="P149" s="10">
        <v>1</v>
      </c>
      <c r="Q149" s="10" t="s">
        <v>79</v>
      </c>
      <c r="R149" s="10">
        <v>550</v>
      </c>
      <c r="S149" s="10">
        <v>500</v>
      </c>
      <c r="T149" s="10">
        <v>1150</v>
      </c>
      <c r="Z149" s="10" t="s">
        <v>110</v>
      </c>
      <c r="AD149" s="10">
        <v>0.75</v>
      </c>
      <c r="AF149" s="10" t="s">
        <v>82</v>
      </c>
      <c r="AG149" s="10">
        <v>20</v>
      </c>
    </row>
    <row r="150" spans="7:33" x14ac:dyDescent="0.25">
      <c r="G150" s="10" t="s">
        <v>238</v>
      </c>
      <c r="H150" s="10" t="s">
        <v>542</v>
      </c>
      <c r="I150" s="10" t="s">
        <v>545</v>
      </c>
      <c r="J150" s="10" t="s">
        <v>76</v>
      </c>
      <c r="K150" s="10" t="s">
        <v>546</v>
      </c>
      <c r="L150" s="10">
        <v>2</v>
      </c>
      <c r="M150" s="10" t="s">
        <v>78</v>
      </c>
      <c r="P150" s="10">
        <v>1</v>
      </c>
      <c r="Q150" s="10" t="s">
        <v>79</v>
      </c>
      <c r="R150" s="10">
        <v>600</v>
      </c>
      <c r="S150" s="10">
        <v>500</v>
      </c>
      <c r="T150" s="10">
        <v>900</v>
      </c>
      <c r="Z150" s="10" t="s">
        <v>95</v>
      </c>
      <c r="AD150" s="10">
        <v>0.75</v>
      </c>
      <c r="AF150" s="10" t="s">
        <v>82</v>
      </c>
      <c r="AG150" s="10">
        <v>15</v>
      </c>
    </row>
    <row r="151" spans="7:33" x14ac:dyDescent="0.25">
      <c r="G151" s="10" t="s">
        <v>238</v>
      </c>
      <c r="H151" s="10" t="s">
        <v>542</v>
      </c>
      <c r="I151" s="10" t="s">
        <v>547</v>
      </c>
      <c r="J151" s="10" t="s">
        <v>76</v>
      </c>
      <c r="K151" s="10" t="s">
        <v>548</v>
      </c>
      <c r="L151" s="10">
        <v>2</v>
      </c>
      <c r="M151" s="10" t="s">
        <v>78</v>
      </c>
      <c r="P151" s="10">
        <v>1</v>
      </c>
      <c r="Q151" s="10" t="s">
        <v>79</v>
      </c>
      <c r="R151" s="10">
        <v>700</v>
      </c>
      <c r="S151" s="10">
        <v>200</v>
      </c>
      <c r="T151" s="10">
        <v>1700</v>
      </c>
      <c r="Z151" s="10" t="s">
        <v>95</v>
      </c>
      <c r="AD151" s="10">
        <v>0.75</v>
      </c>
      <c r="AF151" s="10" t="s">
        <v>82</v>
      </c>
      <c r="AG151" s="10">
        <v>10</v>
      </c>
    </row>
    <row r="152" spans="7:33" x14ac:dyDescent="0.25">
      <c r="G152" s="10" t="s">
        <v>238</v>
      </c>
      <c r="H152" s="10" t="s">
        <v>549</v>
      </c>
      <c r="I152" s="10" t="s">
        <v>550</v>
      </c>
      <c r="J152" s="10" t="s">
        <v>76</v>
      </c>
      <c r="K152" s="10" t="s">
        <v>551</v>
      </c>
      <c r="L152" s="10">
        <v>2</v>
      </c>
      <c r="M152" s="10" t="s">
        <v>78</v>
      </c>
      <c r="P152" s="10">
        <v>1</v>
      </c>
      <c r="Q152" s="10" t="s">
        <v>79</v>
      </c>
      <c r="R152" s="10">
        <v>130</v>
      </c>
      <c r="S152" s="10">
        <v>80</v>
      </c>
      <c r="T152" s="10">
        <v>60</v>
      </c>
      <c r="V152" s="10" t="s">
        <v>552</v>
      </c>
      <c r="W152" s="10" t="s">
        <v>553</v>
      </c>
      <c r="Z152" s="10" t="s">
        <v>95</v>
      </c>
      <c r="AD152" s="10">
        <v>0.75</v>
      </c>
      <c r="AF152" s="10" t="s">
        <v>96</v>
      </c>
      <c r="AG152" s="10">
        <v>5</v>
      </c>
    </row>
    <row r="153" spans="7:33" x14ac:dyDescent="0.25">
      <c r="G153" s="10" t="s">
        <v>238</v>
      </c>
      <c r="H153" s="10" t="s">
        <v>549</v>
      </c>
      <c r="I153" s="10" t="s">
        <v>554</v>
      </c>
      <c r="J153" s="10" t="s">
        <v>76</v>
      </c>
      <c r="K153" s="10" t="s">
        <v>555</v>
      </c>
      <c r="L153" s="10">
        <v>2</v>
      </c>
      <c r="M153" s="10" t="s">
        <v>78</v>
      </c>
      <c r="P153" s="10">
        <v>1</v>
      </c>
      <c r="Q153" s="10" t="s">
        <v>79</v>
      </c>
      <c r="R153" s="10">
        <v>300</v>
      </c>
      <c r="S153" s="10">
        <v>180</v>
      </c>
      <c r="T153" s="10">
        <v>200</v>
      </c>
      <c r="V153" s="10" t="s">
        <v>540</v>
      </c>
      <c r="W153" s="10" t="s">
        <v>556</v>
      </c>
      <c r="Z153" s="10" t="s">
        <v>105</v>
      </c>
      <c r="AD153" s="10">
        <v>0.75</v>
      </c>
      <c r="AF153" s="10" t="s">
        <v>96</v>
      </c>
      <c r="AG153" s="10">
        <v>8</v>
      </c>
    </row>
    <row r="154" spans="7:33" x14ac:dyDescent="0.25">
      <c r="G154" s="10" t="s">
        <v>557</v>
      </c>
      <c r="H154" s="10" t="s">
        <v>558</v>
      </c>
      <c r="I154" s="10" t="s">
        <v>559</v>
      </c>
      <c r="J154" s="10" t="s">
        <v>76</v>
      </c>
      <c r="K154" s="10" t="s">
        <v>560</v>
      </c>
      <c r="L154" s="10">
        <v>2</v>
      </c>
      <c r="M154" s="10" t="s">
        <v>78</v>
      </c>
      <c r="P154" s="10">
        <v>1</v>
      </c>
      <c r="Q154" s="10" t="s">
        <v>79</v>
      </c>
      <c r="R154" s="10">
        <v>310</v>
      </c>
      <c r="S154" s="10">
        <v>250</v>
      </c>
      <c r="T154" s="10">
        <v>210</v>
      </c>
      <c r="V154" s="10" t="s">
        <v>561</v>
      </c>
      <c r="W154" s="10" t="s">
        <v>562</v>
      </c>
      <c r="Z154" s="10" t="s">
        <v>95</v>
      </c>
      <c r="AA154" s="10" t="s">
        <v>563</v>
      </c>
      <c r="AD154" s="10">
        <v>0.75</v>
      </c>
      <c r="AF154" s="10" t="s">
        <v>96</v>
      </c>
      <c r="AG154" s="10">
        <v>25</v>
      </c>
    </row>
    <row r="155" spans="7:33" x14ac:dyDescent="0.25">
      <c r="G155" s="10" t="s">
        <v>557</v>
      </c>
      <c r="H155" s="10" t="s">
        <v>558</v>
      </c>
      <c r="I155" s="10" t="s">
        <v>559</v>
      </c>
      <c r="J155" s="10" t="s">
        <v>76</v>
      </c>
      <c r="K155" s="10" t="s">
        <v>564</v>
      </c>
      <c r="L155" s="10">
        <v>2</v>
      </c>
      <c r="M155" s="10" t="s">
        <v>78</v>
      </c>
      <c r="P155" s="10">
        <v>1</v>
      </c>
      <c r="Q155" s="10" t="s">
        <v>79</v>
      </c>
      <c r="R155" s="10">
        <v>350</v>
      </c>
      <c r="S155" s="10">
        <v>300</v>
      </c>
      <c r="T155" s="10">
        <v>200</v>
      </c>
      <c r="V155" s="10" t="s">
        <v>565</v>
      </c>
      <c r="W155" s="10" t="s">
        <v>566</v>
      </c>
      <c r="Z155" s="10" t="s">
        <v>222</v>
      </c>
      <c r="AD155" s="10">
        <v>0.75</v>
      </c>
      <c r="AF155" s="10" t="s">
        <v>96</v>
      </c>
      <c r="AG155" s="10">
        <v>25</v>
      </c>
    </row>
    <row r="156" spans="7:33" x14ac:dyDescent="0.25">
      <c r="G156" s="10" t="s">
        <v>557</v>
      </c>
      <c r="H156" s="10" t="s">
        <v>558</v>
      </c>
      <c r="I156" s="10" t="s">
        <v>567</v>
      </c>
      <c r="J156" s="10" t="s">
        <v>76</v>
      </c>
      <c r="K156" s="10" t="s">
        <v>568</v>
      </c>
      <c r="L156" s="10">
        <v>2</v>
      </c>
      <c r="M156" s="10" t="s">
        <v>78</v>
      </c>
      <c r="P156" s="10">
        <v>1</v>
      </c>
      <c r="Q156" s="10" t="s">
        <v>79</v>
      </c>
      <c r="R156" s="10">
        <v>400</v>
      </c>
      <c r="S156" s="10">
        <v>380</v>
      </c>
      <c r="T156" s="10">
        <v>360</v>
      </c>
      <c r="V156" s="10" t="s">
        <v>561</v>
      </c>
      <c r="W156" s="10" t="s">
        <v>569</v>
      </c>
      <c r="Z156" s="10" t="s">
        <v>95</v>
      </c>
      <c r="AA156" s="10" t="s">
        <v>570</v>
      </c>
      <c r="AD156" s="10">
        <v>0.75</v>
      </c>
      <c r="AF156" s="10" t="s">
        <v>96</v>
      </c>
      <c r="AG156" s="10">
        <v>25</v>
      </c>
    </row>
    <row r="157" spans="7:33" x14ac:dyDescent="0.25">
      <c r="G157" s="10" t="s">
        <v>557</v>
      </c>
      <c r="H157" s="10" t="s">
        <v>558</v>
      </c>
      <c r="I157" s="10" t="s">
        <v>571</v>
      </c>
      <c r="J157" s="10" t="s">
        <v>76</v>
      </c>
      <c r="K157" s="10" t="s">
        <v>572</v>
      </c>
      <c r="L157" s="10">
        <v>2</v>
      </c>
      <c r="M157" s="10" t="s">
        <v>78</v>
      </c>
      <c r="P157" s="10">
        <v>1</v>
      </c>
      <c r="Q157" s="10" t="s">
        <v>79</v>
      </c>
      <c r="R157" s="10">
        <v>380</v>
      </c>
      <c r="S157" s="10">
        <v>200</v>
      </c>
      <c r="T157" s="10">
        <v>280</v>
      </c>
      <c r="Z157" s="10" t="s">
        <v>222</v>
      </c>
      <c r="AA157" s="10" t="s">
        <v>573</v>
      </c>
      <c r="AD157" s="10">
        <v>0.75</v>
      </c>
      <c r="AF157" s="10" t="s">
        <v>96</v>
      </c>
      <c r="AG157" s="10">
        <v>25</v>
      </c>
    </row>
    <row r="158" spans="7:33" x14ac:dyDescent="0.25">
      <c r="G158" s="10" t="s">
        <v>557</v>
      </c>
      <c r="H158" s="10" t="s">
        <v>558</v>
      </c>
      <c r="I158" s="10" t="s">
        <v>574</v>
      </c>
      <c r="J158" s="10" t="s">
        <v>76</v>
      </c>
      <c r="K158" s="10" t="s">
        <v>575</v>
      </c>
      <c r="L158" s="10">
        <v>2</v>
      </c>
      <c r="M158" s="10" t="s">
        <v>78</v>
      </c>
      <c r="P158" s="10">
        <v>1</v>
      </c>
      <c r="Q158" s="10" t="s">
        <v>79</v>
      </c>
      <c r="R158" s="10">
        <v>440</v>
      </c>
      <c r="S158" s="10">
        <v>380</v>
      </c>
      <c r="T158" s="10">
        <v>370</v>
      </c>
      <c r="V158" s="10" t="s">
        <v>565</v>
      </c>
      <c r="W158" s="10" t="s">
        <v>576</v>
      </c>
      <c r="Z158" s="10" t="s">
        <v>222</v>
      </c>
      <c r="AA158" s="10" t="s">
        <v>577</v>
      </c>
      <c r="AD158" s="10">
        <v>0.75</v>
      </c>
      <c r="AF158" s="10" t="s">
        <v>96</v>
      </c>
      <c r="AG158" s="10">
        <v>25</v>
      </c>
    </row>
    <row r="159" spans="7:33" x14ac:dyDescent="0.25">
      <c r="G159" s="10" t="s">
        <v>557</v>
      </c>
      <c r="H159" s="10" t="s">
        <v>558</v>
      </c>
      <c r="I159" s="10" t="s">
        <v>574</v>
      </c>
      <c r="J159" s="10" t="s">
        <v>76</v>
      </c>
      <c r="K159" s="10" t="s">
        <v>578</v>
      </c>
      <c r="L159" s="10">
        <v>2</v>
      </c>
      <c r="M159" s="10" t="s">
        <v>78</v>
      </c>
      <c r="P159" s="10">
        <v>1</v>
      </c>
      <c r="Q159" s="10" t="s">
        <v>79</v>
      </c>
      <c r="R159" s="10">
        <v>560</v>
      </c>
      <c r="S159" s="10">
        <v>480</v>
      </c>
      <c r="T159" s="10">
        <v>430</v>
      </c>
      <c r="V159" s="10" t="s">
        <v>561</v>
      </c>
      <c r="W159" s="10" t="s">
        <v>579</v>
      </c>
      <c r="Z159" s="10" t="s">
        <v>222</v>
      </c>
      <c r="AA159" s="10" t="s">
        <v>580</v>
      </c>
      <c r="AD159" s="10">
        <v>0.75</v>
      </c>
      <c r="AF159" s="10" t="s">
        <v>96</v>
      </c>
      <c r="AG159" s="10">
        <v>25</v>
      </c>
    </row>
    <row r="160" spans="7:33" x14ac:dyDescent="0.25">
      <c r="G160" s="10" t="s">
        <v>557</v>
      </c>
      <c r="H160" s="10" t="s">
        <v>558</v>
      </c>
      <c r="I160" s="10" t="s">
        <v>581</v>
      </c>
      <c r="J160" s="10" t="s">
        <v>76</v>
      </c>
      <c r="K160" s="10" t="s">
        <v>582</v>
      </c>
      <c r="L160" s="10">
        <v>2</v>
      </c>
      <c r="M160" s="10" t="s">
        <v>78</v>
      </c>
      <c r="P160" s="10">
        <v>1</v>
      </c>
      <c r="Q160" s="10" t="s">
        <v>79</v>
      </c>
      <c r="R160" s="10">
        <v>400</v>
      </c>
      <c r="S160" s="10">
        <v>350</v>
      </c>
      <c r="T160" s="10">
        <v>380</v>
      </c>
      <c r="V160" s="10" t="s">
        <v>583</v>
      </c>
      <c r="W160" s="10" t="s">
        <v>584</v>
      </c>
      <c r="Z160" s="10" t="s">
        <v>222</v>
      </c>
      <c r="AA160" s="10" t="s">
        <v>585</v>
      </c>
      <c r="AD160" s="10">
        <v>0.75</v>
      </c>
      <c r="AF160" s="10" t="s">
        <v>96</v>
      </c>
      <c r="AG160" s="10">
        <v>25</v>
      </c>
    </row>
    <row r="161" spans="7:33" x14ac:dyDescent="0.25">
      <c r="G161" s="10" t="s">
        <v>557</v>
      </c>
      <c r="H161" s="10" t="s">
        <v>558</v>
      </c>
      <c r="I161" s="10" t="s">
        <v>586</v>
      </c>
      <c r="J161" s="10" t="s">
        <v>76</v>
      </c>
      <c r="K161" s="10" t="s">
        <v>587</v>
      </c>
      <c r="L161" s="10">
        <v>2</v>
      </c>
      <c r="M161" s="10" t="s">
        <v>78</v>
      </c>
      <c r="P161" s="10">
        <v>1</v>
      </c>
      <c r="Q161" s="10" t="s">
        <v>79</v>
      </c>
      <c r="R161" s="10">
        <v>250</v>
      </c>
      <c r="S161" s="10">
        <v>80</v>
      </c>
      <c r="T161" s="10">
        <v>350</v>
      </c>
      <c r="V161" s="10" t="s">
        <v>588</v>
      </c>
      <c r="W161" s="10" t="s">
        <v>589</v>
      </c>
      <c r="Z161" s="10" t="s">
        <v>222</v>
      </c>
      <c r="AD161" s="10">
        <v>0.75</v>
      </c>
      <c r="AF161" s="10" t="s">
        <v>96</v>
      </c>
      <c r="AG161" s="10">
        <v>20</v>
      </c>
    </row>
    <row r="162" spans="7:33" x14ac:dyDescent="0.25">
      <c r="G162" s="10" t="s">
        <v>557</v>
      </c>
      <c r="H162" s="10" t="s">
        <v>558</v>
      </c>
      <c r="I162" s="10" t="s">
        <v>586</v>
      </c>
      <c r="J162" s="10" t="s">
        <v>76</v>
      </c>
      <c r="K162" s="10" t="s">
        <v>590</v>
      </c>
      <c r="L162" s="10">
        <v>2</v>
      </c>
      <c r="M162" s="10" t="s">
        <v>78</v>
      </c>
      <c r="P162" s="10">
        <v>1</v>
      </c>
      <c r="Q162" s="10" t="s">
        <v>79</v>
      </c>
      <c r="R162" s="10">
        <v>450</v>
      </c>
      <c r="S162" s="10">
        <v>120</v>
      </c>
      <c r="T162" s="10">
        <v>550</v>
      </c>
      <c r="V162" s="10" t="s">
        <v>591</v>
      </c>
      <c r="W162" s="10" t="s">
        <v>592</v>
      </c>
      <c r="Z162" s="10" t="s">
        <v>95</v>
      </c>
      <c r="AA162" s="10" t="s">
        <v>593</v>
      </c>
      <c r="AD162" s="10">
        <v>0.75</v>
      </c>
      <c r="AF162" s="10" t="s">
        <v>96</v>
      </c>
      <c r="AG162" s="10">
        <v>20</v>
      </c>
    </row>
    <row r="163" spans="7:33" x14ac:dyDescent="0.25">
      <c r="G163" s="10" t="s">
        <v>557</v>
      </c>
      <c r="H163" s="10" t="s">
        <v>558</v>
      </c>
      <c r="I163" s="10" t="s">
        <v>594</v>
      </c>
      <c r="J163" s="10" t="s">
        <v>76</v>
      </c>
      <c r="K163" s="10" t="s">
        <v>595</v>
      </c>
      <c r="L163" s="10">
        <v>2</v>
      </c>
      <c r="M163" s="10" t="s">
        <v>78</v>
      </c>
      <c r="P163" s="10">
        <v>1</v>
      </c>
      <c r="Q163" s="10" t="s">
        <v>79</v>
      </c>
      <c r="R163" s="10">
        <v>360</v>
      </c>
      <c r="S163" s="10">
        <v>380</v>
      </c>
      <c r="T163" s="10">
        <v>580</v>
      </c>
      <c r="V163" s="10" t="s">
        <v>561</v>
      </c>
      <c r="W163" s="10" t="s">
        <v>596</v>
      </c>
      <c r="Z163" s="10" t="s">
        <v>95</v>
      </c>
      <c r="AA163" s="10" t="s">
        <v>563</v>
      </c>
      <c r="AD163" s="10">
        <v>0.75</v>
      </c>
      <c r="AF163" s="10" t="s">
        <v>96</v>
      </c>
      <c r="AG163" s="10">
        <v>25</v>
      </c>
    </row>
    <row r="164" spans="7:33" x14ac:dyDescent="0.25">
      <c r="G164" s="10" t="s">
        <v>557</v>
      </c>
      <c r="H164" s="10" t="s">
        <v>558</v>
      </c>
      <c r="I164" s="10" t="s">
        <v>597</v>
      </c>
      <c r="J164" s="10" t="s">
        <v>76</v>
      </c>
      <c r="K164" s="10" t="s">
        <v>598</v>
      </c>
      <c r="L164" s="10">
        <v>2</v>
      </c>
      <c r="M164" s="10" t="s">
        <v>78</v>
      </c>
      <c r="P164" s="10">
        <v>1</v>
      </c>
      <c r="Q164" s="10" t="s">
        <v>79</v>
      </c>
      <c r="R164" s="10">
        <v>340</v>
      </c>
      <c r="S164" s="10">
        <v>290</v>
      </c>
      <c r="T164" s="10">
        <v>1580</v>
      </c>
      <c r="Z164" s="10" t="s">
        <v>95</v>
      </c>
      <c r="AA164" s="10" t="s">
        <v>599</v>
      </c>
      <c r="AD164" s="10">
        <v>0.75</v>
      </c>
      <c r="AF164" s="10" t="s">
        <v>96</v>
      </c>
      <c r="AG164" s="10">
        <v>25</v>
      </c>
    </row>
    <row r="165" spans="7:33" x14ac:dyDescent="0.25">
      <c r="G165" s="10" t="s">
        <v>557</v>
      </c>
      <c r="H165" s="10" t="s">
        <v>558</v>
      </c>
      <c r="I165" s="10" t="s">
        <v>600</v>
      </c>
      <c r="J165" s="10" t="s">
        <v>76</v>
      </c>
      <c r="K165" s="10" t="s">
        <v>601</v>
      </c>
      <c r="L165" s="10">
        <v>2</v>
      </c>
      <c r="M165" s="10" t="s">
        <v>78</v>
      </c>
      <c r="P165" s="10">
        <v>1</v>
      </c>
      <c r="Q165" s="10" t="s">
        <v>79</v>
      </c>
      <c r="R165" s="10">
        <v>480</v>
      </c>
      <c r="S165" s="10">
        <v>450</v>
      </c>
      <c r="T165" s="10">
        <v>620</v>
      </c>
      <c r="V165" s="10" t="s">
        <v>602</v>
      </c>
      <c r="W165" s="10" t="s">
        <v>603</v>
      </c>
      <c r="Z165" s="10" t="s">
        <v>222</v>
      </c>
      <c r="AD165" s="10">
        <v>0.75</v>
      </c>
      <c r="AF165" s="10" t="s">
        <v>96</v>
      </c>
      <c r="AG165" s="10">
        <v>15</v>
      </c>
    </row>
    <row r="166" spans="7:33" x14ac:dyDescent="0.25">
      <c r="G166" s="10" t="s">
        <v>604</v>
      </c>
      <c r="H166" s="10" t="s">
        <v>605</v>
      </c>
      <c r="I166" s="10" t="s">
        <v>606</v>
      </c>
      <c r="J166" s="10" t="s">
        <v>76</v>
      </c>
      <c r="K166" s="10" t="s">
        <v>607</v>
      </c>
      <c r="L166" s="10">
        <v>2</v>
      </c>
      <c r="M166" s="10" t="s">
        <v>78</v>
      </c>
      <c r="P166" s="10">
        <v>1</v>
      </c>
      <c r="Q166" s="10" t="s">
        <v>79</v>
      </c>
      <c r="R166" s="10">
        <v>2000</v>
      </c>
      <c r="S166" s="10">
        <v>900</v>
      </c>
      <c r="T166" s="10">
        <v>1450</v>
      </c>
      <c r="V166" s="10" t="s">
        <v>608</v>
      </c>
      <c r="W166" s="10" t="s">
        <v>609</v>
      </c>
      <c r="Z166" s="10" t="s">
        <v>95</v>
      </c>
      <c r="AD166" s="10">
        <v>0.75</v>
      </c>
      <c r="AF166" s="10" t="s">
        <v>96</v>
      </c>
      <c r="AG166" s="10">
        <v>10</v>
      </c>
    </row>
    <row r="167" spans="7:33" x14ac:dyDescent="0.25">
      <c r="G167" s="10" t="s">
        <v>604</v>
      </c>
      <c r="H167" s="10" t="s">
        <v>605</v>
      </c>
      <c r="I167" s="10" t="s">
        <v>610</v>
      </c>
      <c r="J167" s="10" t="s">
        <v>76</v>
      </c>
      <c r="K167" s="10" t="s">
        <v>611</v>
      </c>
      <c r="L167" s="10">
        <v>2</v>
      </c>
      <c r="M167" s="10" t="s">
        <v>78</v>
      </c>
      <c r="P167" s="10">
        <v>1</v>
      </c>
      <c r="Q167" s="10" t="s">
        <v>79</v>
      </c>
      <c r="R167" s="10">
        <v>2100</v>
      </c>
      <c r="S167" s="10">
        <v>700</v>
      </c>
      <c r="T167" s="10">
        <v>1620</v>
      </c>
      <c r="V167" s="10" t="s">
        <v>608</v>
      </c>
      <c r="W167" s="10" t="s">
        <v>612</v>
      </c>
      <c r="Z167" s="10" t="s">
        <v>95</v>
      </c>
      <c r="AD167" s="10">
        <v>0.75</v>
      </c>
      <c r="AF167" s="10" t="s">
        <v>96</v>
      </c>
      <c r="AG167" s="10">
        <v>10</v>
      </c>
    </row>
    <row r="168" spans="7:33" x14ac:dyDescent="0.25">
      <c r="G168" s="10" t="s">
        <v>604</v>
      </c>
      <c r="H168" s="10" t="s">
        <v>605</v>
      </c>
      <c r="I168" s="10" t="s">
        <v>613</v>
      </c>
      <c r="J168" s="10" t="s">
        <v>76</v>
      </c>
      <c r="K168" s="10" t="s">
        <v>614</v>
      </c>
      <c r="L168" s="10">
        <v>2</v>
      </c>
      <c r="M168" s="10" t="s">
        <v>78</v>
      </c>
      <c r="P168" s="10">
        <v>1</v>
      </c>
      <c r="Q168" s="10" t="s">
        <v>79</v>
      </c>
      <c r="R168" s="10">
        <v>1100</v>
      </c>
      <c r="S168" s="10">
        <v>520</v>
      </c>
      <c r="T168" s="10">
        <v>1380</v>
      </c>
      <c r="V168" s="10" t="s">
        <v>608</v>
      </c>
      <c r="W168" s="10" t="s">
        <v>615</v>
      </c>
      <c r="Z168" s="10" t="s">
        <v>95</v>
      </c>
      <c r="AD168" s="10">
        <v>0.75</v>
      </c>
      <c r="AF168" s="10" t="s">
        <v>96</v>
      </c>
      <c r="AG168" s="10">
        <v>10</v>
      </c>
    </row>
    <row r="169" spans="7:33" x14ac:dyDescent="0.25">
      <c r="G169" s="10" t="s">
        <v>604</v>
      </c>
      <c r="H169" s="10" t="s">
        <v>605</v>
      </c>
      <c r="I169" s="10" t="s">
        <v>616</v>
      </c>
      <c r="J169" s="10" t="s">
        <v>76</v>
      </c>
      <c r="K169" s="10" t="s">
        <v>617</v>
      </c>
      <c r="L169" s="10">
        <v>2</v>
      </c>
      <c r="M169" s="10" t="s">
        <v>78</v>
      </c>
      <c r="P169" s="10">
        <v>1</v>
      </c>
      <c r="Q169" s="10" t="s">
        <v>79</v>
      </c>
      <c r="R169" s="10">
        <v>1700</v>
      </c>
      <c r="S169" s="10">
        <v>680</v>
      </c>
      <c r="T169" s="10">
        <v>1170</v>
      </c>
      <c r="Z169" s="10" t="s">
        <v>95</v>
      </c>
      <c r="AD169" s="10">
        <v>0.75</v>
      </c>
      <c r="AF169" s="10" t="s">
        <v>96</v>
      </c>
      <c r="AG169" s="10">
        <v>10</v>
      </c>
    </row>
    <row r="170" spans="7:33" x14ac:dyDescent="0.25">
      <c r="G170" s="10" t="s">
        <v>604</v>
      </c>
      <c r="H170" s="10" t="s">
        <v>605</v>
      </c>
      <c r="I170" s="10" t="s">
        <v>618</v>
      </c>
      <c r="J170" s="10" t="s">
        <v>76</v>
      </c>
      <c r="K170" s="10" t="s">
        <v>619</v>
      </c>
      <c r="L170" s="10">
        <v>2</v>
      </c>
      <c r="M170" s="10" t="s">
        <v>78</v>
      </c>
      <c r="P170" s="10">
        <v>1</v>
      </c>
      <c r="Q170" s="10" t="s">
        <v>79</v>
      </c>
      <c r="R170" s="10">
        <v>2440</v>
      </c>
      <c r="S170" s="10">
        <v>580</v>
      </c>
      <c r="T170" s="10">
        <v>250</v>
      </c>
      <c r="V170" s="10" t="s">
        <v>620</v>
      </c>
      <c r="W170" s="10" t="s">
        <v>621</v>
      </c>
      <c r="Z170" s="10" t="s">
        <v>95</v>
      </c>
      <c r="AD170" s="10">
        <v>0.75</v>
      </c>
      <c r="AF170" s="10" t="s">
        <v>96</v>
      </c>
      <c r="AG170" s="10">
        <v>15</v>
      </c>
    </row>
    <row r="171" spans="7:33" x14ac:dyDescent="0.25">
      <c r="G171" s="10" t="s">
        <v>604</v>
      </c>
      <c r="H171" s="10" t="s">
        <v>622</v>
      </c>
      <c r="I171" s="10" t="s">
        <v>623</v>
      </c>
      <c r="J171" s="10" t="s">
        <v>76</v>
      </c>
      <c r="K171" s="10" t="s">
        <v>624</v>
      </c>
      <c r="L171" s="10">
        <v>2</v>
      </c>
      <c r="M171" s="10" t="s">
        <v>78</v>
      </c>
      <c r="P171" s="10">
        <v>1</v>
      </c>
      <c r="Q171" s="10" t="s">
        <v>79</v>
      </c>
      <c r="R171" s="10">
        <v>1100</v>
      </c>
      <c r="S171" s="10">
        <v>1000</v>
      </c>
      <c r="T171" s="10">
        <v>2200</v>
      </c>
      <c r="Z171" s="10" t="s">
        <v>95</v>
      </c>
      <c r="AD171" s="10">
        <v>0.75</v>
      </c>
      <c r="AF171" s="10" t="s">
        <v>96</v>
      </c>
      <c r="AG171" s="10">
        <v>15</v>
      </c>
    </row>
    <row r="172" spans="7:33" x14ac:dyDescent="0.25">
      <c r="G172" s="10" t="s">
        <v>604</v>
      </c>
      <c r="H172" s="10" t="s">
        <v>622</v>
      </c>
      <c r="I172" s="10" t="s">
        <v>625</v>
      </c>
      <c r="J172" s="10" t="s">
        <v>76</v>
      </c>
      <c r="K172" s="10" t="s">
        <v>626</v>
      </c>
      <c r="L172" s="10">
        <v>2</v>
      </c>
      <c r="M172" s="10" t="s">
        <v>78</v>
      </c>
      <c r="P172" s="10">
        <v>1</v>
      </c>
      <c r="Q172" s="10" t="s">
        <v>79</v>
      </c>
      <c r="R172" s="10">
        <v>1400</v>
      </c>
      <c r="S172" s="10">
        <v>620</v>
      </c>
      <c r="T172" s="10">
        <v>450</v>
      </c>
      <c r="Z172" s="10" t="s">
        <v>95</v>
      </c>
      <c r="AD172" s="10">
        <v>0.75</v>
      </c>
      <c r="AF172" s="10" t="s">
        <v>96</v>
      </c>
      <c r="AG172" s="10">
        <v>15</v>
      </c>
    </row>
    <row r="173" spans="7:33" x14ac:dyDescent="0.25">
      <c r="G173" s="10" t="s">
        <v>604</v>
      </c>
      <c r="H173" s="10" t="s">
        <v>622</v>
      </c>
      <c r="I173" s="10" t="s">
        <v>627</v>
      </c>
      <c r="J173" s="10" t="s">
        <v>76</v>
      </c>
      <c r="K173" s="10" t="s">
        <v>628</v>
      </c>
      <c r="L173" s="10">
        <v>2</v>
      </c>
      <c r="M173" s="10" t="s">
        <v>78</v>
      </c>
      <c r="P173" s="10">
        <v>1</v>
      </c>
      <c r="Q173" s="10" t="s">
        <v>79</v>
      </c>
      <c r="R173" s="10">
        <v>2100</v>
      </c>
      <c r="S173" s="10">
        <v>500</v>
      </c>
      <c r="T173" s="10">
        <v>1000</v>
      </c>
      <c r="Z173" s="10" t="s">
        <v>95</v>
      </c>
      <c r="AA173" s="10" t="s">
        <v>629</v>
      </c>
      <c r="AD173" s="10">
        <v>0.75</v>
      </c>
      <c r="AF173" s="10" t="s">
        <v>96</v>
      </c>
      <c r="AG173" s="10">
        <v>20</v>
      </c>
    </row>
    <row r="174" spans="7:33" x14ac:dyDescent="0.25">
      <c r="G174" s="10" t="s">
        <v>604</v>
      </c>
      <c r="H174" s="10" t="s">
        <v>622</v>
      </c>
      <c r="I174" s="10" t="s">
        <v>630</v>
      </c>
      <c r="J174" s="10" t="s">
        <v>76</v>
      </c>
      <c r="K174" s="10" t="s">
        <v>631</v>
      </c>
      <c r="L174" s="10">
        <v>2</v>
      </c>
      <c r="M174" s="10" t="s">
        <v>78</v>
      </c>
      <c r="P174" s="10">
        <v>1</v>
      </c>
      <c r="Q174" s="10" t="s">
        <v>79</v>
      </c>
      <c r="R174" s="10">
        <v>1200</v>
      </c>
      <c r="S174" s="10">
        <v>1400</v>
      </c>
      <c r="T174" s="10">
        <v>2200</v>
      </c>
      <c r="Z174" s="10" t="s">
        <v>95</v>
      </c>
      <c r="AD174" s="10">
        <v>0.75</v>
      </c>
      <c r="AF174" s="10" t="s">
        <v>96</v>
      </c>
      <c r="AG174" s="10">
        <v>20</v>
      </c>
    </row>
    <row r="175" spans="7:33" x14ac:dyDescent="0.25">
      <c r="G175" s="10" t="s">
        <v>604</v>
      </c>
      <c r="H175" s="10" t="s">
        <v>632</v>
      </c>
      <c r="I175" s="10" t="s">
        <v>633</v>
      </c>
      <c r="J175" s="10" t="s">
        <v>76</v>
      </c>
      <c r="K175" s="10" t="s">
        <v>634</v>
      </c>
      <c r="L175" s="10">
        <v>2</v>
      </c>
      <c r="M175" s="10" t="s">
        <v>78</v>
      </c>
      <c r="P175" s="10">
        <v>1</v>
      </c>
      <c r="Q175" s="10" t="s">
        <v>79</v>
      </c>
      <c r="R175" s="10">
        <v>2000</v>
      </c>
      <c r="S175" s="10">
        <v>1100</v>
      </c>
      <c r="T175" s="10">
        <v>820</v>
      </c>
      <c r="Z175" s="10" t="s">
        <v>635</v>
      </c>
      <c r="AA175" s="10" t="s">
        <v>636</v>
      </c>
      <c r="AD175" s="10">
        <v>0.75</v>
      </c>
      <c r="AF175" s="10" t="s">
        <v>82</v>
      </c>
      <c r="AG175" s="10">
        <v>25</v>
      </c>
    </row>
    <row r="176" spans="7:33" x14ac:dyDescent="0.25">
      <c r="G176" s="10" t="s">
        <v>604</v>
      </c>
      <c r="H176" s="10" t="s">
        <v>632</v>
      </c>
      <c r="I176" s="10" t="s">
        <v>637</v>
      </c>
      <c r="J176" s="10" t="s">
        <v>76</v>
      </c>
      <c r="K176" s="10" t="s">
        <v>638</v>
      </c>
      <c r="L176" s="10">
        <v>2</v>
      </c>
      <c r="M176" s="10" t="s">
        <v>78</v>
      </c>
      <c r="P176" s="10">
        <v>1</v>
      </c>
      <c r="Q176" s="10" t="s">
        <v>79</v>
      </c>
      <c r="R176" s="10">
        <v>2740</v>
      </c>
      <c r="S176" s="10">
        <v>1525</v>
      </c>
      <c r="T176" s="10">
        <v>760</v>
      </c>
      <c r="V176" s="10" t="s">
        <v>639</v>
      </c>
      <c r="W176" s="10" t="s">
        <v>640</v>
      </c>
      <c r="Z176" s="10" t="s">
        <v>641</v>
      </c>
      <c r="AA176" s="10" t="s">
        <v>642</v>
      </c>
      <c r="AD176" s="10">
        <v>0.75</v>
      </c>
      <c r="AF176" s="10" t="s">
        <v>82</v>
      </c>
      <c r="AG176" s="10">
        <v>20</v>
      </c>
    </row>
    <row r="177" spans="7:33" x14ac:dyDescent="0.25">
      <c r="G177" s="10" t="s">
        <v>604</v>
      </c>
      <c r="H177" s="10" t="s">
        <v>632</v>
      </c>
      <c r="I177" s="10" t="s">
        <v>643</v>
      </c>
      <c r="J177" s="10" t="s">
        <v>76</v>
      </c>
      <c r="K177" s="10" t="s">
        <v>644</v>
      </c>
      <c r="L177" s="10">
        <v>2</v>
      </c>
      <c r="M177" s="10" t="s">
        <v>78</v>
      </c>
      <c r="P177" s="10">
        <v>1</v>
      </c>
      <c r="Q177" s="10" t="s">
        <v>79</v>
      </c>
      <c r="R177" s="10">
        <v>1400</v>
      </c>
      <c r="S177" s="10">
        <v>750</v>
      </c>
      <c r="T177" s="10">
        <v>900</v>
      </c>
      <c r="Z177" s="10" t="s">
        <v>95</v>
      </c>
      <c r="AD177" s="10">
        <v>0.75</v>
      </c>
      <c r="AF177" s="10" t="s">
        <v>82</v>
      </c>
      <c r="AG177" s="10">
        <v>20</v>
      </c>
    </row>
    <row r="178" spans="7:33" x14ac:dyDescent="0.25">
      <c r="G178" s="10" t="s">
        <v>645</v>
      </c>
      <c r="H178" s="10" t="s">
        <v>646</v>
      </c>
      <c r="I178" s="10" t="s">
        <v>647</v>
      </c>
      <c r="J178" s="10" t="s">
        <v>76</v>
      </c>
      <c r="K178" s="10" t="s">
        <v>648</v>
      </c>
      <c r="L178" s="10">
        <v>2</v>
      </c>
      <c r="M178" s="10" t="s">
        <v>78</v>
      </c>
      <c r="P178" s="10">
        <v>1</v>
      </c>
      <c r="Q178" s="10" t="s">
        <v>79</v>
      </c>
      <c r="R178" s="10">
        <v>480</v>
      </c>
      <c r="S178" s="10">
        <v>200</v>
      </c>
      <c r="T178" s="10">
        <v>380</v>
      </c>
      <c r="V178" s="10" t="s">
        <v>649</v>
      </c>
      <c r="Z178" s="10" t="s">
        <v>650</v>
      </c>
      <c r="AA178" s="10" t="s">
        <v>651</v>
      </c>
      <c r="AD178" s="10">
        <v>0.75</v>
      </c>
      <c r="AF178" s="10" t="s">
        <v>96</v>
      </c>
      <c r="AG178" s="10">
        <v>3</v>
      </c>
    </row>
    <row r="179" spans="7:33" x14ac:dyDescent="0.25">
      <c r="G179" s="10" t="s">
        <v>645</v>
      </c>
      <c r="H179" s="10" t="s">
        <v>646</v>
      </c>
      <c r="I179" s="10" t="s">
        <v>647</v>
      </c>
      <c r="J179" s="10" t="s">
        <v>76</v>
      </c>
      <c r="K179" s="10" t="s">
        <v>652</v>
      </c>
      <c r="L179" s="10">
        <v>2</v>
      </c>
      <c r="M179" s="10" t="s">
        <v>78</v>
      </c>
      <c r="P179" s="10">
        <v>1</v>
      </c>
      <c r="Q179" s="10" t="s">
        <v>79</v>
      </c>
      <c r="R179" s="10">
        <v>300</v>
      </c>
      <c r="S179" s="10">
        <v>120</v>
      </c>
      <c r="T179" s="10">
        <v>200</v>
      </c>
      <c r="V179" s="10" t="s">
        <v>649</v>
      </c>
      <c r="Z179" s="10" t="s">
        <v>650</v>
      </c>
      <c r="AD179" s="10">
        <v>0.75</v>
      </c>
      <c r="AF179" s="10" t="s">
        <v>96</v>
      </c>
      <c r="AG179" s="10">
        <v>3</v>
      </c>
    </row>
    <row r="180" spans="7:33" x14ac:dyDescent="0.25">
      <c r="G180" s="10" t="s">
        <v>645</v>
      </c>
      <c r="H180" s="10" t="s">
        <v>646</v>
      </c>
      <c r="I180" s="10" t="s">
        <v>653</v>
      </c>
      <c r="J180" s="10" t="s">
        <v>76</v>
      </c>
      <c r="K180" s="10" t="s">
        <v>654</v>
      </c>
      <c r="L180" s="10">
        <v>2</v>
      </c>
      <c r="M180" s="10" t="s">
        <v>78</v>
      </c>
      <c r="P180" s="10">
        <v>1</v>
      </c>
      <c r="Q180" s="10" t="s">
        <v>79</v>
      </c>
      <c r="R180" s="10">
        <v>250</v>
      </c>
      <c r="S180" s="10">
        <v>80</v>
      </c>
      <c r="T180" s="10">
        <v>200</v>
      </c>
      <c r="V180" s="10" t="s">
        <v>655</v>
      </c>
      <c r="W180" s="10" t="s">
        <v>656</v>
      </c>
      <c r="Z180" s="10" t="s">
        <v>657</v>
      </c>
      <c r="AA180" s="10" t="s">
        <v>658</v>
      </c>
      <c r="AD180" s="10">
        <v>0.75</v>
      </c>
      <c r="AF180" s="10" t="s">
        <v>96</v>
      </c>
      <c r="AG180" s="10">
        <v>10</v>
      </c>
    </row>
    <row r="181" spans="7:33" x14ac:dyDescent="0.25">
      <c r="G181" s="10" t="s">
        <v>645</v>
      </c>
      <c r="H181" s="10" t="s">
        <v>646</v>
      </c>
      <c r="I181" s="10" t="s">
        <v>653</v>
      </c>
      <c r="J181" s="10" t="s">
        <v>76</v>
      </c>
      <c r="K181" s="10" t="s">
        <v>659</v>
      </c>
      <c r="L181" s="10">
        <v>2</v>
      </c>
      <c r="M181" s="10" t="s">
        <v>78</v>
      </c>
      <c r="P181" s="10">
        <v>1</v>
      </c>
      <c r="Q181" s="10" t="s">
        <v>79</v>
      </c>
      <c r="R181" s="10">
        <v>280</v>
      </c>
      <c r="S181" s="10">
        <v>100</v>
      </c>
      <c r="T181" s="10">
        <v>240</v>
      </c>
      <c r="V181" s="10" t="s">
        <v>660</v>
      </c>
      <c r="W181" s="10" t="s">
        <v>661</v>
      </c>
      <c r="Z181" s="10" t="s">
        <v>105</v>
      </c>
      <c r="AD181" s="10">
        <v>0.75</v>
      </c>
      <c r="AF181" s="10" t="s">
        <v>96</v>
      </c>
      <c r="AG181" s="10">
        <v>10</v>
      </c>
    </row>
    <row r="182" spans="7:33" x14ac:dyDescent="0.25">
      <c r="G182" s="10" t="s">
        <v>645</v>
      </c>
      <c r="H182" s="10" t="s">
        <v>646</v>
      </c>
      <c r="I182" s="10" t="s">
        <v>662</v>
      </c>
      <c r="J182" s="10" t="s">
        <v>76</v>
      </c>
      <c r="K182" s="10" t="s">
        <v>663</v>
      </c>
      <c r="L182" s="10">
        <v>2</v>
      </c>
      <c r="M182" s="10" t="s">
        <v>78</v>
      </c>
      <c r="P182" s="10">
        <v>1</v>
      </c>
      <c r="Q182" s="10" t="s">
        <v>79</v>
      </c>
      <c r="R182" s="10">
        <v>1950</v>
      </c>
      <c r="S182" s="10">
        <v>580</v>
      </c>
      <c r="T182" s="10">
        <v>300</v>
      </c>
      <c r="V182" s="10" t="s">
        <v>664</v>
      </c>
      <c r="W182" s="10" t="s">
        <v>665</v>
      </c>
      <c r="Z182" s="10" t="s">
        <v>222</v>
      </c>
      <c r="AD182" s="10">
        <v>0.75</v>
      </c>
      <c r="AF182" s="10" t="s">
        <v>96</v>
      </c>
      <c r="AG182" s="10">
        <v>15</v>
      </c>
    </row>
    <row r="183" spans="7:33" x14ac:dyDescent="0.25">
      <c r="G183" s="10" t="s">
        <v>645</v>
      </c>
      <c r="H183" s="10" t="s">
        <v>646</v>
      </c>
      <c r="I183" s="10" t="s">
        <v>666</v>
      </c>
      <c r="J183" s="10" t="s">
        <v>76</v>
      </c>
      <c r="K183" s="10" t="s">
        <v>667</v>
      </c>
      <c r="L183" s="10">
        <v>2</v>
      </c>
      <c r="M183" s="10" t="s">
        <v>78</v>
      </c>
      <c r="P183" s="10">
        <v>1</v>
      </c>
      <c r="Q183" s="10" t="s">
        <v>79</v>
      </c>
      <c r="R183" s="10">
        <v>200</v>
      </c>
      <c r="S183" s="10">
        <v>150</v>
      </c>
      <c r="T183" s="10">
        <v>350</v>
      </c>
      <c r="V183" s="10" t="s">
        <v>668</v>
      </c>
      <c r="W183" s="10" t="s">
        <v>669</v>
      </c>
      <c r="Z183" s="10" t="s">
        <v>670</v>
      </c>
      <c r="AD183" s="10">
        <v>0.75</v>
      </c>
      <c r="AF183" s="10" t="s">
        <v>96</v>
      </c>
      <c r="AG183" s="10">
        <v>10</v>
      </c>
    </row>
    <row r="184" spans="7:33" x14ac:dyDescent="0.25">
      <c r="G184" s="10" t="s">
        <v>645</v>
      </c>
      <c r="H184" s="10" t="s">
        <v>671</v>
      </c>
      <c r="I184" s="10" t="s">
        <v>672</v>
      </c>
      <c r="J184" s="10" t="s">
        <v>76</v>
      </c>
      <c r="K184" s="10" t="s">
        <v>673</v>
      </c>
      <c r="L184" s="10">
        <v>2</v>
      </c>
      <c r="M184" s="10" t="s">
        <v>78</v>
      </c>
      <c r="P184" s="10">
        <v>1</v>
      </c>
      <c r="Q184" s="10" t="s">
        <v>79</v>
      </c>
      <c r="R184" s="10">
        <v>140</v>
      </c>
      <c r="S184" s="10">
        <v>80</v>
      </c>
      <c r="T184" s="10">
        <v>120</v>
      </c>
      <c r="V184" s="10" t="s">
        <v>674</v>
      </c>
      <c r="W184" s="10" t="s">
        <v>675</v>
      </c>
      <c r="Z184" s="10" t="s">
        <v>105</v>
      </c>
      <c r="AD184" s="10">
        <v>0.75</v>
      </c>
      <c r="AF184" s="10" t="s">
        <v>96</v>
      </c>
      <c r="AG184" s="10">
        <v>8</v>
      </c>
    </row>
    <row r="185" spans="7:33" x14ac:dyDescent="0.25">
      <c r="G185" s="10" t="s">
        <v>645</v>
      </c>
      <c r="H185" s="10" t="s">
        <v>671</v>
      </c>
      <c r="I185" s="10" t="s">
        <v>676</v>
      </c>
      <c r="J185" s="10" t="s">
        <v>76</v>
      </c>
      <c r="K185" s="10" t="s">
        <v>677</v>
      </c>
      <c r="L185" s="10">
        <v>2</v>
      </c>
      <c r="M185" s="10" t="s">
        <v>78</v>
      </c>
      <c r="P185" s="10">
        <v>1</v>
      </c>
      <c r="Q185" s="10" t="s">
        <v>79</v>
      </c>
      <c r="R185" s="10">
        <v>70</v>
      </c>
      <c r="S185" s="10">
        <v>35</v>
      </c>
      <c r="T185" s="10">
        <v>35</v>
      </c>
      <c r="Z185" s="10" t="s">
        <v>95</v>
      </c>
      <c r="AD185" s="10">
        <v>0.75</v>
      </c>
      <c r="AF185" s="10" t="s">
        <v>96</v>
      </c>
      <c r="AG185" s="10">
        <v>5</v>
      </c>
    </row>
    <row r="186" spans="7:33" x14ac:dyDescent="0.25">
      <c r="G186" s="10" t="s">
        <v>645</v>
      </c>
      <c r="H186" s="10" t="s">
        <v>671</v>
      </c>
      <c r="I186" s="10" t="s">
        <v>678</v>
      </c>
      <c r="J186" s="10" t="s">
        <v>76</v>
      </c>
      <c r="K186" s="10" t="s">
        <v>679</v>
      </c>
      <c r="L186" s="10">
        <v>2</v>
      </c>
      <c r="M186" s="10" t="s">
        <v>78</v>
      </c>
      <c r="P186" s="10">
        <v>1</v>
      </c>
      <c r="Q186" s="10" t="s">
        <v>79</v>
      </c>
      <c r="R186" s="10">
        <v>340</v>
      </c>
      <c r="S186" s="10">
        <v>340</v>
      </c>
      <c r="T186" s="10">
        <v>1000</v>
      </c>
      <c r="V186" s="10" t="s">
        <v>680</v>
      </c>
      <c r="W186" s="10">
        <v>769</v>
      </c>
      <c r="Z186" s="10" t="s">
        <v>105</v>
      </c>
      <c r="AD186" s="10">
        <v>0.75</v>
      </c>
      <c r="AF186" s="10" t="s">
        <v>96</v>
      </c>
      <c r="AG186" s="10">
        <v>15</v>
      </c>
    </row>
    <row r="187" spans="7:33" x14ac:dyDescent="0.25">
      <c r="G187" s="10" t="s">
        <v>645</v>
      </c>
      <c r="H187" s="10" t="s">
        <v>671</v>
      </c>
      <c r="I187" s="10" t="s">
        <v>681</v>
      </c>
      <c r="J187" s="10" t="s">
        <v>76</v>
      </c>
      <c r="K187" s="10" t="s">
        <v>682</v>
      </c>
      <c r="L187" s="10">
        <v>2</v>
      </c>
      <c r="M187" s="10" t="s">
        <v>78</v>
      </c>
      <c r="P187" s="10">
        <v>1</v>
      </c>
      <c r="Q187" s="10" t="s">
        <v>79</v>
      </c>
      <c r="R187" s="10">
        <v>1900</v>
      </c>
      <c r="S187" s="10">
        <v>600</v>
      </c>
      <c r="T187" s="10">
        <v>850</v>
      </c>
      <c r="Z187" s="10" t="s">
        <v>683</v>
      </c>
      <c r="AD187" s="10">
        <v>0.75</v>
      </c>
      <c r="AF187" s="10" t="s">
        <v>96</v>
      </c>
      <c r="AG187" s="10">
        <v>20</v>
      </c>
    </row>
    <row r="188" spans="7:33" x14ac:dyDescent="0.25">
      <c r="G188" s="10" t="s">
        <v>645</v>
      </c>
      <c r="H188" s="10" t="s">
        <v>671</v>
      </c>
      <c r="I188" s="10" t="s">
        <v>684</v>
      </c>
      <c r="J188" s="10" t="s">
        <v>76</v>
      </c>
      <c r="K188" s="10" t="s">
        <v>685</v>
      </c>
      <c r="L188" s="10">
        <v>2</v>
      </c>
      <c r="M188" s="10" t="s">
        <v>78</v>
      </c>
      <c r="P188" s="10">
        <v>1</v>
      </c>
      <c r="Q188" s="10" t="s">
        <v>79</v>
      </c>
      <c r="R188" s="10">
        <v>600</v>
      </c>
      <c r="S188" s="10">
        <v>400</v>
      </c>
      <c r="T188" s="10">
        <v>850</v>
      </c>
      <c r="Z188" s="10" t="s">
        <v>169</v>
      </c>
      <c r="AD188" s="10">
        <v>0.75</v>
      </c>
      <c r="AF188" s="10" t="s">
        <v>96</v>
      </c>
      <c r="AG188" s="10">
        <v>20</v>
      </c>
    </row>
    <row r="189" spans="7:33" x14ac:dyDescent="0.25">
      <c r="G189" s="10" t="s">
        <v>645</v>
      </c>
      <c r="H189" s="10" t="s">
        <v>671</v>
      </c>
      <c r="I189" s="10" t="s">
        <v>686</v>
      </c>
      <c r="J189" s="10" t="s">
        <v>76</v>
      </c>
      <c r="K189" s="10" t="s">
        <v>687</v>
      </c>
      <c r="L189" s="10">
        <v>2</v>
      </c>
      <c r="M189" s="10" t="s">
        <v>78</v>
      </c>
      <c r="P189" s="10">
        <v>1</v>
      </c>
      <c r="Q189" s="10" t="s">
        <v>79</v>
      </c>
      <c r="R189" s="10">
        <v>595</v>
      </c>
      <c r="S189" s="10">
        <v>595</v>
      </c>
      <c r="T189" s="10">
        <v>840</v>
      </c>
      <c r="V189" s="10" t="s">
        <v>688</v>
      </c>
      <c r="W189" s="10" t="s">
        <v>689</v>
      </c>
      <c r="Z189" s="10" t="s">
        <v>105</v>
      </c>
      <c r="AA189" s="10" t="s">
        <v>690</v>
      </c>
      <c r="AD189" s="10">
        <v>0.75</v>
      </c>
      <c r="AF189" s="10" t="s">
        <v>96</v>
      </c>
      <c r="AG189" s="10">
        <v>12</v>
      </c>
    </row>
    <row r="190" spans="7:33" x14ac:dyDescent="0.25">
      <c r="G190" s="10" t="s">
        <v>645</v>
      </c>
      <c r="H190" s="10" t="s">
        <v>671</v>
      </c>
      <c r="I190" s="10" t="s">
        <v>691</v>
      </c>
      <c r="J190" s="10" t="s">
        <v>76</v>
      </c>
      <c r="K190" s="10" t="s">
        <v>692</v>
      </c>
      <c r="L190" s="10">
        <v>2</v>
      </c>
      <c r="M190" s="10" t="s">
        <v>78</v>
      </c>
      <c r="P190" s="10">
        <v>1</v>
      </c>
      <c r="Q190" s="10" t="s">
        <v>79</v>
      </c>
      <c r="R190" s="10">
        <v>480</v>
      </c>
      <c r="S190" s="10">
        <v>580</v>
      </c>
      <c r="T190" s="10">
        <v>380</v>
      </c>
      <c r="V190" s="10" t="s">
        <v>693</v>
      </c>
      <c r="W190" s="10" t="s">
        <v>694</v>
      </c>
      <c r="Z190" s="10" t="s">
        <v>169</v>
      </c>
      <c r="AD190" s="10">
        <v>0.75</v>
      </c>
      <c r="AF190" s="10" t="s">
        <v>96</v>
      </c>
      <c r="AG190" s="10">
        <v>15</v>
      </c>
    </row>
    <row r="191" spans="7:33" x14ac:dyDescent="0.25">
      <c r="G191" s="10" t="s">
        <v>645</v>
      </c>
      <c r="H191" s="10" t="s">
        <v>671</v>
      </c>
      <c r="I191" s="10" t="s">
        <v>695</v>
      </c>
      <c r="J191" s="10" t="s">
        <v>76</v>
      </c>
      <c r="K191" s="10" t="s">
        <v>696</v>
      </c>
      <c r="L191" s="10">
        <v>2</v>
      </c>
      <c r="M191" s="10" t="s">
        <v>78</v>
      </c>
      <c r="P191" s="10">
        <v>1</v>
      </c>
      <c r="Q191" s="10" t="s">
        <v>79</v>
      </c>
      <c r="R191" s="10">
        <v>2200</v>
      </c>
      <c r="S191" s="10">
        <v>850</v>
      </c>
      <c r="T191" s="10">
        <v>1000</v>
      </c>
      <c r="Z191" s="10" t="s">
        <v>105</v>
      </c>
      <c r="AD191" s="10">
        <v>0.75</v>
      </c>
      <c r="AF191" s="10" t="s">
        <v>96</v>
      </c>
      <c r="AG191" s="10">
        <v>20</v>
      </c>
    </row>
    <row r="192" spans="7:33" x14ac:dyDescent="0.25">
      <c r="G192" s="10" t="s">
        <v>697</v>
      </c>
      <c r="H192" s="10" t="s">
        <v>698</v>
      </c>
      <c r="I192" s="10" t="s">
        <v>699</v>
      </c>
      <c r="J192" s="10" t="s">
        <v>76</v>
      </c>
      <c r="K192" s="10" t="s">
        <v>700</v>
      </c>
      <c r="L192" s="10">
        <v>2</v>
      </c>
      <c r="M192" s="10" t="s">
        <v>78</v>
      </c>
      <c r="P192" s="10">
        <v>1</v>
      </c>
      <c r="Q192" s="10" t="s">
        <v>79</v>
      </c>
      <c r="V192" s="10" t="s">
        <v>701</v>
      </c>
      <c r="W192" s="10" t="s">
        <v>702</v>
      </c>
      <c r="Z192" s="10" t="s">
        <v>105</v>
      </c>
      <c r="AA192" s="10" t="s">
        <v>703</v>
      </c>
      <c r="AD192" s="10">
        <v>0.75</v>
      </c>
      <c r="AF192" s="10" t="s">
        <v>704</v>
      </c>
      <c r="AG192" s="10">
        <v>8</v>
      </c>
    </row>
    <row r="193" spans="7:33" x14ac:dyDescent="0.25">
      <c r="G193" s="10" t="s">
        <v>697</v>
      </c>
      <c r="H193" s="10" t="s">
        <v>698</v>
      </c>
      <c r="I193" s="10" t="s">
        <v>699</v>
      </c>
      <c r="J193" s="10" t="s">
        <v>76</v>
      </c>
      <c r="K193" s="10" t="s">
        <v>705</v>
      </c>
      <c r="L193" s="10">
        <v>2</v>
      </c>
      <c r="M193" s="10" t="s">
        <v>78</v>
      </c>
      <c r="P193" s="10">
        <v>1</v>
      </c>
      <c r="Q193" s="10" t="s">
        <v>79</v>
      </c>
      <c r="V193" s="10" t="s">
        <v>701</v>
      </c>
      <c r="W193" s="10" t="s">
        <v>706</v>
      </c>
      <c r="Z193" s="10" t="s">
        <v>349</v>
      </c>
      <c r="AA193" s="10" t="s">
        <v>703</v>
      </c>
      <c r="AD193" s="10">
        <v>0.75</v>
      </c>
      <c r="AF193" s="10" t="s">
        <v>704</v>
      </c>
      <c r="AG193" s="10">
        <v>8</v>
      </c>
    </row>
    <row r="194" spans="7:33" x14ac:dyDescent="0.25">
      <c r="G194" s="10" t="s">
        <v>697</v>
      </c>
      <c r="H194" s="10" t="s">
        <v>698</v>
      </c>
      <c r="I194" s="10" t="s">
        <v>707</v>
      </c>
      <c r="J194" s="10" t="s">
        <v>76</v>
      </c>
      <c r="K194" s="10" t="s">
        <v>708</v>
      </c>
      <c r="L194" s="10">
        <v>2</v>
      </c>
      <c r="M194" s="10" t="s">
        <v>78</v>
      </c>
      <c r="P194" s="10">
        <v>1</v>
      </c>
      <c r="Q194" s="10" t="s">
        <v>79</v>
      </c>
      <c r="V194" s="10" t="s">
        <v>701</v>
      </c>
      <c r="W194" s="10" t="s">
        <v>709</v>
      </c>
      <c r="Z194" s="10" t="s">
        <v>105</v>
      </c>
      <c r="AA194" s="10" t="s">
        <v>703</v>
      </c>
      <c r="AD194" s="10">
        <v>0.75</v>
      </c>
      <c r="AF194" s="10" t="s">
        <v>704</v>
      </c>
      <c r="AG194" s="10">
        <v>8</v>
      </c>
    </row>
    <row r="195" spans="7:33" x14ac:dyDescent="0.25">
      <c r="G195" s="10" t="s">
        <v>697</v>
      </c>
      <c r="H195" s="10" t="s">
        <v>698</v>
      </c>
      <c r="I195" s="10" t="s">
        <v>707</v>
      </c>
      <c r="J195" s="10" t="s">
        <v>76</v>
      </c>
      <c r="K195" s="10" t="s">
        <v>710</v>
      </c>
      <c r="L195" s="10">
        <v>2</v>
      </c>
      <c r="M195" s="10" t="s">
        <v>78</v>
      </c>
      <c r="P195" s="10">
        <v>1</v>
      </c>
      <c r="Q195" s="10" t="s">
        <v>79</v>
      </c>
      <c r="V195" s="10" t="s">
        <v>701</v>
      </c>
      <c r="W195" s="10" t="s">
        <v>711</v>
      </c>
      <c r="Z195" s="10" t="s">
        <v>105</v>
      </c>
      <c r="AA195" s="10" t="s">
        <v>703</v>
      </c>
      <c r="AD195" s="10">
        <v>0.75</v>
      </c>
      <c r="AF195" s="10" t="s">
        <v>704</v>
      </c>
      <c r="AG195" s="10">
        <v>10</v>
      </c>
    </row>
    <row r="196" spans="7:33" x14ac:dyDescent="0.25">
      <c r="G196" s="10" t="s">
        <v>697</v>
      </c>
      <c r="H196" s="10" t="s">
        <v>698</v>
      </c>
      <c r="I196" s="10" t="s">
        <v>712</v>
      </c>
      <c r="J196" s="10" t="s">
        <v>76</v>
      </c>
      <c r="K196" s="10" t="s">
        <v>713</v>
      </c>
      <c r="L196" s="10">
        <v>2</v>
      </c>
      <c r="M196" s="10" t="s">
        <v>78</v>
      </c>
      <c r="P196" s="10">
        <v>1</v>
      </c>
      <c r="Q196" s="10" t="s">
        <v>79</v>
      </c>
      <c r="V196" s="10" t="s">
        <v>701</v>
      </c>
      <c r="W196" s="10" t="s">
        <v>714</v>
      </c>
      <c r="Z196" s="10" t="s">
        <v>105</v>
      </c>
      <c r="AA196" s="10" t="s">
        <v>703</v>
      </c>
      <c r="AD196" s="10">
        <v>0.75</v>
      </c>
      <c r="AF196" s="10" t="s">
        <v>704</v>
      </c>
      <c r="AG196" s="10">
        <v>10</v>
      </c>
    </row>
    <row r="197" spans="7:33" x14ac:dyDescent="0.25">
      <c r="G197" s="10" t="s">
        <v>697</v>
      </c>
      <c r="H197" s="10" t="s">
        <v>698</v>
      </c>
      <c r="I197" s="10" t="s">
        <v>712</v>
      </c>
      <c r="J197" s="10" t="s">
        <v>76</v>
      </c>
      <c r="K197" s="10" t="s">
        <v>715</v>
      </c>
      <c r="L197" s="10">
        <v>2</v>
      </c>
      <c r="M197" s="10" t="s">
        <v>78</v>
      </c>
      <c r="P197" s="10">
        <v>1</v>
      </c>
      <c r="Q197" s="10" t="s">
        <v>79</v>
      </c>
      <c r="V197" s="10" t="s">
        <v>716</v>
      </c>
      <c r="W197" s="10" t="s">
        <v>717</v>
      </c>
      <c r="Z197" s="10" t="s">
        <v>105</v>
      </c>
      <c r="AA197" s="10" t="s">
        <v>703</v>
      </c>
      <c r="AD197" s="10">
        <v>0.75</v>
      </c>
      <c r="AF197" s="10" t="s">
        <v>704</v>
      </c>
      <c r="AG197" s="10">
        <v>10</v>
      </c>
    </row>
    <row r="198" spans="7:33" x14ac:dyDescent="0.25">
      <c r="G198" s="10" t="s">
        <v>697</v>
      </c>
      <c r="H198" s="10" t="s">
        <v>698</v>
      </c>
      <c r="I198" s="10" t="s">
        <v>718</v>
      </c>
      <c r="J198" s="10" t="s">
        <v>76</v>
      </c>
      <c r="K198" s="10" t="s">
        <v>719</v>
      </c>
      <c r="L198" s="10">
        <v>2</v>
      </c>
      <c r="M198" s="10" t="s">
        <v>78</v>
      </c>
      <c r="P198" s="10">
        <v>1</v>
      </c>
      <c r="Q198" s="10" t="s">
        <v>79</v>
      </c>
      <c r="V198" s="10" t="s">
        <v>701</v>
      </c>
      <c r="W198" s="10" t="s">
        <v>720</v>
      </c>
      <c r="Z198" s="10" t="s">
        <v>105</v>
      </c>
      <c r="AA198" s="10" t="s">
        <v>703</v>
      </c>
      <c r="AD198" s="10">
        <v>0.75</v>
      </c>
      <c r="AF198" s="10" t="s">
        <v>704</v>
      </c>
      <c r="AG198" s="10">
        <v>10</v>
      </c>
    </row>
    <row r="199" spans="7:33" x14ac:dyDescent="0.25">
      <c r="G199" s="10" t="s">
        <v>697</v>
      </c>
      <c r="H199" s="10" t="s">
        <v>698</v>
      </c>
      <c r="I199" s="10" t="s">
        <v>721</v>
      </c>
      <c r="J199" s="10" t="s">
        <v>76</v>
      </c>
      <c r="K199" s="10" t="s">
        <v>722</v>
      </c>
      <c r="L199" s="10">
        <v>2</v>
      </c>
      <c r="M199" s="10" t="s">
        <v>78</v>
      </c>
      <c r="P199" s="10">
        <v>1</v>
      </c>
      <c r="Q199" s="10" t="s">
        <v>79</v>
      </c>
      <c r="V199" s="10" t="s">
        <v>701</v>
      </c>
      <c r="W199" s="10" t="s">
        <v>723</v>
      </c>
      <c r="Z199" s="10" t="s">
        <v>105</v>
      </c>
      <c r="AA199" s="10" t="s">
        <v>703</v>
      </c>
      <c r="AD199" s="10">
        <v>0.75</v>
      </c>
      <c r="AF199" s="10" t="s">
        <v>704</v>
      </c>
      <c r="AG199" s="10">
        <v>15</v>
      </c>
    </row>
    <row r="200" spans="7:33" x14ac:dyDescent="0.25">
      <c r="G200" s="10" t="s">
        <v>697</v>
      </c>
      <c r="H200" s="10" t="s">
        <v>698</v>
      </c>
      <c r="I200" s="10" t="s">
        <v>724</v>
      </c>
      <c r="J200" s="10" t="s">
        <v>76</v>
      </c>
      <c r="K200" s="10" t="s">
        <v>725</v>
      </c>
      <c r="L200" s="10">
        <v>2</v>
      </c>
      <c r="M200" s="10" t="s">
        <v>78</v>
      </c>
      <c r="P200" s="10">
        <v>1</v>
      </c>
      <c r="Q200" s="10" t="s">
        <v>79</v>
      </c>
      <c r="V200" s="10" t="s">
        <v>726</v>
      </c>
      <c r="W200" s="10" t="s">
        <v>727</v>
      </c>
      <c r="Z200" s="10" t="s">
        <v>105</v>
      </c>
      <c r="AA200" s="10" t="s">
        <v>703</v>
      </c>
      <c r="AD200" s="10">
        <v>0.75</v>
      </c>
      <c r="AF200" s="10" t="s">
        <v>704</v>
      </c>
      <c r="AG200" s="10">
        <v>10</v>
      </c>
    </row>
    <row r="201" spans="7:33" x14ac:dyDescent="0.25">
      <c r="G201" s="10" t="s">
        <v>697</v>
      </c>
      <c r="H201" s="10" t="s">
        <v>728</v>
      </c>
      <c r="I201" s="10" t="s">
        <v>729</v>
      </c>
      <c r="J201" s="10" t="s">
        <v>76</v>
      </c>
      <c r="K201" s="10" t="s">
        <v>730</v>
      </c>
      <c r="L201" s="10">
        <v>2</v>
      </c>
      <c r="M201" s="10" t="s">
        <v>78</v>
      </c>
      <c r="P201" s="10">
        <v>1</v>
      </c>
      <c r="Q201" s="10" t="s">
        <v>79</v>
      </c>
      <c r="R201" s="10">
        <v>1650</v>
      </c>
      <c r="S201" s="10">
        <v>1100</v>
      </c>
      <c r="T201" s="10">
        <v>1100</v>
      </c>
      <c r="V201" s="10" t="s">
        <v>731</v>
      </c>
      <c r="W201" s="10" t="s">
        <v>732</v>
      </c>
      <c r="Z201" s="10" t="s">
        <v>733</v>
      </c>
      <c r="AD201" s="10">
        <v>0.75</v>
      </c>
      <c r="AF201" s="10" t="s">
        <v>96</v>
      </c>
      <c r="AG201" s="10">
        <v>10</v>
      </c>
    </row>
    <row r="202" spans="7:33" x14ac:dyDescent="0.25">
      <c r="G202" s="10" t="s">
        <v>697</v>
      </c>
      <c r="H202" s="10" t="s">
        <v>728</v>
      </c>
      <c r="I202" s="10" t="s">
        <v>734</v>
      </c>
      <c r="J202" s="10" t="s">
        <v>76</v>
      </c>
      <c r="K202" s="10" t="s">
        <v>735</v>
      </c>
      <c r="L202" s="10">
        <v>2</v>
      </c>
      <c r="M202" s="10" t="s">
        <v>78</v>
      </c>
      <c r="P202" s="10">
        <v>1</v>
      </c>
      <c r="Q202" s="10" t="s">
        <v>79</v>
      </c>
      <c r="R202" s="10">
        <v>550</v>
      </c>
      <c r="S202" s="10">
        <v>510</v>
      </c>
      <c r="T202" s="10">
        <v>1050</v>
      </c>
      <c r="V202" s="10" t="s">
        <v>736</v>
      </c>
      <c r="W202" s="10" t="s">
        <v>737</v>
      </c>
      <c r="Z202" s="10" t="s">
        <v>738</v>
      </c>
      <c r="AD202" s="10">
        <v>0.75</v>
      </c>
      <c r="AF202" s="10" t="s">
        <v>96</v>
      </c>
      <c r="AG202" s="10">
        <v>10</v>
      </c>
    </row>
    <row r="203" spans="7:33" x14ac:dyDescent="0.25">
      <c r="G203" s="10" t="s">
        <v>697</v>
      </c>
      <c r="H203" s="10" t="s">
        <v>728</v>
      </c>
      <c r="I203" s="10" t="s">
        <v>739</v>
      </c>
      <c r="J203" s="10" t="s">
        <v>76</v>
      </c>
      <c r="K203" s="10" t="s">
        <v>740</v>
      </c>
      <c r="L203" s="10">
        <v>2</v>
      </c>
      <c r="M203" s="10" t="s">
        <v>78</v>
      </c>
      <c r="P203" s="10">
        <v>1</v>
      </c>
      <c r="Q203" s="10" t="s">
        <v>79</v>
      </c>
      <c r="R203" s="10">
        <v>2200</v>
      </c>
      <c r="S203" s="10">
        <v>1200</v>
      </c>
      <c r="T203" s="10">
        <v>2200</v>
      </c>
      <c r="V203" s="10" t="s">
        <v>701</v>
      </c>
      <c r="W203" s="10" t="s">
        <v>741</v>
      </c>
      <c r="Z203" s="10" t="s">
        <v>742</v>
      </c>
      <c r="AA203" s="10" t="s">
        <v>743</v>
      </c>
      <c r="AD203" s="10">
        <v>0.75</v>
      </c>
      <c r="AF203" s="10" t="s">
        <v>96</v>
      </c>
      <c r="AG203" s="10">
        <v>10</v>
      </c>
    </row>
    <row r="204" spans="7:33" x14ac:dyDescent="0.25">
      <c r="G204" s="10" t="s">
        <v>697</v>
      </c>
      <c r="H204" s="10" t="s">
        <v>728</v>
      </c>
      <c r="I204" s="10" t="s">
        <v>744</v>
      </c>
      <c r="J204" s="10" t="s">
        <v>76</v>
      </c>
      <c r="K204" s="10" t="s">
        <v>745</v>
      </c>
      <c r="L204" s="10">
        <v>2</v>
      </c>
      <c r="M204" s="10" t="s">
        <v>78</v>
      </c>
      <c r="P204" s="10">
        <v>1</v>
      </c>
      <c r="Q204" s="10" t="s">
        <v>79</v>
      </c>
      <c r="R204" s="10">
        <v>1730</v>
      </c>
      <c r="S204" s="10">
        <v>740</v>
      </c>
      <c r="T204" s="10">
        <v>1200</v>
      </c>
      <c r="V204" s="10" t="s">
        <v>746</v>
      </c>
      <c r="W204" s="10" t="s">
        <v>747</v>
      </c>
      <c r="Z204" s="10" t="s">
        <v>742</v>
      </c>
      <c r="AD204" s="10">
        <v>0.75</v>
      </c>
      <c r="AF204" s="10" t="s">
        <v>96</v>
      </c>
      <c r="AG204" s="10">
        <v>10</v>
      </c>
    </row>
    <row r="205" spans="7:33" x14ac:dyDescent="0.25">
      <c r="G205" s="10" t="s">
        <v>697</v>
      </c>
      <c r="H205" s="10" t="s">
        <v>728</v>
      </c>
      <c r="I205" s="10" t="s">
        <v>748</v>
      </c>
      <c r="J205" s="10" t="s">
        <v>76</v>
      </c>
      <c r="K205" s="10" t="s">
        <v>749</v>
      </c>
      <c r="L205" s="10">
        <v>2</v>
      </c>
      <c r="M205" s="10" t="s">
        <v>78</v>
      </c>
      <c r="P205" s="10">
        <v>1</v>
      </c>
      <c r="Q205" s="10" t="s">
        <v>79</v>
      </c>
      <c r="R205" s="10">
        <v>2600</v>
      </c>
      <c r="S205" s="10">
        <v>1200</v>
      </c>
      <c r="T205" s="10">
        <v>1800</v>
      </c>
      <c r="V205" s="10" t="s">
        <v>750</v>
      </c>
      <c r="W205" s="10" t="s">
        <v>751</v>
      </c>
      <c r="Z205" s="10" t="s">
        <v>742</v>
      </c>
      <c r="AA205" s="10" t="s">
        <v>752</v>
      </c>
      <c r="AD205" s="10">
        <v>0.75</v>
      </c>
      <c r="AF205" s="10" t="s">
        <v>96</v>
      </c>
      <c r="AG205" s="10">
        <v>12</v>
      </c>
    </row>
    <row r="206" spans="7:33" x14ac:dyDescent="0.25">
      <c r="G206" s="10" t="s">
        <v>697</v>
      </c>
      <c r="H206" s="10" t="s">
        <v>728</v>
      </c>
      <c r="I206" s="10" t="s">
        <v>753</v>
      </c>
      <c r="J206" s="10" t="s">
        <v>76</v>
      </c>
      <c r="K206" s="10" t="s">
        <v>754</v>
      </c>
      <c r="L206" s="10">
        <v>2</v>
      </c>
      <c r="M206" s="10" t="s">
        <v>78</v>
      </c>
      <c r="P206" s="10">
        <v>1</v>
      </c>
      <c r="Q206" s="10" t="s">
        <v>79</v>
      </c>
      <c r="R206" s="10">
        <v>2200</v>
      </c>
      <c r="S206" s="10">
        <v>4800</v>
      </c>
      <c r="T206" s="10">
        <v>1950</v>
      </c>
      <c r="V206" s="10" t="s">
        <v>750</v>
      </c>
      <c r="W206" s="10" t="s">
        <v>755</v>
      </c>
      <c r="Z206" s="10" t="s">
        <v>742</v>
      </c>
      <c r="AA206" s="10" t="s">
        <v>752</v>
      </c>
      <c r="AD206" s="10">
        <v>0.75</v>
      </c>
      <c r="AF206" s="10" t="s">
        <v>96</v>
      </c>
      <c r="AG206" s="10">
        <v>15</v>
      </c>
    </row>
    <row r="207" spans="7:33" x14ac:dyDescent="0.25">
      <c r="G207" s="10" t="s">
        <v>697</v>
      </c>
      <c r="H207" s="10" t="s">
        <v>728</v>
      </c>
      <c r="I207" s="10" t="s">
        <v>756</v>
      </c>
      <c r="J207" s="10" t="s">
        <v>76</v>
      </c>
      <c r="K207" s="10" t="s">
        <v>757</v>
      </c>
      <c r="L207" s="10">
        <v>2</v>
      </c>
      <c r="M207" s="10" t="s">
        <v>78</v>
      </c>
      <c r="P207" s="10">
        <v>1</v>
      </c>
      <c r="Q207" s="10" t="s">
        <v>79</v>
      </c>
      <c r="R207" s="10">
        <v>2500</v>
      </c>
      <c r="S207" s="10">
        <v>1500</v>
      </c>
      <c r="T207" s="10">
        <v>1850</v>
      </c>
      <c r="V207" s="10" t="s">
        <v>758</v>
      </c>
      <c r="W207" s="10" t="s">
        <v>759</v>
      </c>
      <c r="Z207" s="10" t="s">
        <v>105</v>
      </c>
      <c r="AD207" s="10">
        <v>0.75</v>
      </c>
      <c r="AF207" s="10" t="s">
        <v>96</v>
      </c>
      <c r="AG207" s="10">
        <v>10</v>
      </c>
    </row>
    <row r="208" spans="7:33" x14ac:dyDescent="0.25">
      <c r="G208" s="10" t="s">
        <v>697</v>
      </c>
      <c r="H208" s="10" t="s">
        <v>728</v>
      </c>
      <c r="I208" s="10" t="s">
        <v>760</v>
      </c>
      <c r="J208" s="10" t="s">
        <v>76</v>
      </c>
      <c r="K208" s="10" t="s">
        <v>761</v>
      </c>
      <c r="L208" s="10">
        <v>2</v>
      </c>
      <c r="M208" s="10" t="s">
        <v>78</v>
      </c>
      <c r="P208" s="10">
        <v>1</v>
      </c>
      <c r="Q208" s="10" t="s">
        <v>79</v>
      </c>
      <c r="R208" s="10">
        <v>750</v>
      </c>
      <c r="S208" s="10">
        <v>520</v>
      </c>
      <c r="T208" s="10">
        <v>560</v>
      </c>
      <c r="V208" s="10" t="s">
        <v>736</v>
      </c>
      <c r="W208" s="10" t="s">
        <v>762</v>
      </c>
      <c r="Z208" s="10" t="s">
        <v>738</v>
      </c>
      <c r="AD208" s="10">
        <v>0.75</v>
      </c>
      <c r="AF208" s="10" t="s">
        <v>96</v>
      </c>
      <c r="AG208" s="10">
        <v>15</v>
      </c>
    </row>
    <row r="209" spans="7:33" x14ac:dyDescent="0.25">
      <c r="G209" s="10" t="s">
        <v>697</v>
      </c>
      <c r="H209" s="10" t="s">
        <v>728</v>
      </c>
      <c r="I209" s="10" t="s">
        <v>763</v>
      </c>
      <c r="J209" s="10" t="s">
        <v>76</v>
      </c>
      <c r="K209" s="10" t="s">
        <v>764</v>
      </c>
      <c r="L209" s="10">
        <v>2</v>
      </c>
      <c r="M209" s="10" t="s">
        <v>78</v>
      </c>
      <c r="P209" s="10">
        <v>1</v>
      </c>
      <c r="Q209" s="10" t="s">
        <v>79</v>
      </c>
      <c r="R209" s="10">
        <v>2200</v>
      </c>
      <c r="S209" s="10">
        <v>900</v>
      </c>
      <c r="T209" s="10">
        <v>1250</v>
      </c>
      <c r="V209" s="10" t="s">
        <v>765</v>
      </c>
      <c r="W209" s="10" t="s">
        <v>766</v>
      </c>
      <c r="Z209" s="10" t="s">
        <v>742</v>
      </c>
      <c r="AA209" s="10" t="s">
        <v>767</v>
      </c>
      <c r="AD209" s="10">
        <v>0.75</v>
      </c>
      <c r="AF209" s="10" t="s">
        <v>96</v>
      </c>
      <c r="AG209" s="10">
        <v>20</v>
      </c>
    </row>
    <row r="210" spans="7:33" x14ac:dyDescent="0.25">
      <c r="G210" s="10" t="s">
        <v>697</v>
      </c>
      <c r="H210" s="10" t="s">
        <v>728</v>
      </c>
      <c r="I210" s="10" t="s">
        <v>768</v>
      </c>
      <c r="J210" s="10" t="s">
        <v>76</v>
      </c>
      <c r="K210" s="10" t="s">
        <v>769</v>
      </c>
      <c r="L210" s="10">
        <v>2</v>
      </c>
      <c r="M210" s="10" t="s">
        <v>78</v>
      </c>
      <c r="P210" s="10">
        <v>1</v>
      </c>
      <c r="Q210" s="10" t="s">
        <v>79</v>
      </c>
      <c r="R210" s="10">
        <v>390</v>
      </c>
      <c r="S210" s="10">
        <v>320</v>
      </c>
      <c r="T210" s="10">
        <v>870</v>
      </c>
      <c r="V210" s="10" t="s">
        <v>770</v>
      </c>
      <c r="W210" s="10" t="s">
        <v>771</v>
      </c>
      <c r="Z210" s="10" t="s">
        <v>742</v>
      </c>
      <c r="AD210" s="10">
        <v>0.75</v>
      </c>
      <c r="AF210" s="10" t="s">
        <v>96</v>
      </c>
      <c r="AG210" s="10">
        <v>10</v>
      </c>
    </row>
    <row r="211" spans="7:33" x14ac:dyDescent="0.25">
      <c r="G211" s="10" t="s">
        <v>697</v>
      </c>
      <c r="H211" s="10" t="s">
        <v>728</v>
      </c>
      <c r="I211" s="10" t="s">
        <v>772</v>
      </c>
      <c r="J211" s="10" t="s">
        <v>76</v>
      </c>
      <c r="K211" s="10" t="s">
        <v>773</v>
      </c>
      <c r="L211" s="10">
        <v>2</v>
      </c>
      <c r="M211" s="10" t="s">
        <v>78</v>
      </c>
      <c r="P211" s="10">
        <v>1</v>
      </c>
      <c r="Q211" s="10" t="s">
        <v>79</v>
      </c>
      <c r="R211" s="10">
        <v>1550</v>
      </c>
      <c r="S211" s="10">
        <v>1000</v>
      </c>
      <c r="T211" s="10">
        <v>1300</v>
      </c>
      <c r="V211" s="10" t="s">
        <v>774</v>
      </c>
      <c r="W211" s="10" t="s">
        <v>775</v>
      </c>
      <c r="Z211" s="10" t="s">
        <v>650</v>
      </c>
      <c r="AD211" s="10">
        <v>0.75</v>
      </c>
      <c r="AF211" s="10" t="s">
        <v>96</v>
      </c>
      <c r="AG211" s="10">
        <v>12</v>
      </c>
    </row>
    <row r="212" spans="7:33" x14ac:dyDescent="0.25">
      <c r="G212" s="10" t="s">
        <v>776</v>
      </c>
      <c r="H212" s="10" t="s">
        <v>777</v>
      </c>
      <c r="I212" s="10" t="s">
        <v>778</v>
      </c>
      <c r="J212" s="10" t="s">
        <v>76</v>
      </c>
      <c r="K212" s="10" t="s">
        <v>779</v>
      </c>
      <c r="L212" s="10">
        <v>2</v>
      </c>
      <c r="M212" s="10" t="s">
        <v>78</v>
      </c>
      <c r="P212" s="10">
        <v>1</v>
      </c>
      <c r="Q212" s="10" t="s">
        <v>79</v>
      </c>
      <c r="R212" s="10">
        <v>280</v>
      </c>
      <c r="S212" s="10">
        <v>100</v>
      </c>
      <c r="T212" s="10">
        <v>130</v>
      </c>
      <c r="V212" s="10" t="s">
        <v>780</v>
      </c>
      <c r="W212" s="10" t="s">
        <v>781</v>
      </c>
      <c r="Z212" s="10" t="s">
        <v>641</v>
      </c>
      <c r="AD212" s="10">
        <v>0.75</v>
      </c>
      <c r="AF212" s="10" t="s">
        <v>96</v>
      </c>
      <c r="AG212" s="10">
        <v>10</v>
      </c>
    </row>
    <row r="213" spans="7:33" x14ac:dyDescent="0.25">
      <c r="G213" s="10" t="s">
        <v>776</v>
      </c>
      <c r="H213" s="10" t="s">
        <v>777</v>
      </c>
      <c r="I213" s="10" t="s">
        <v>778</v>
      </c>
      <c r="J213" s="10" t="s">
        <v>76</v>
      </c>
      <c r="K213" s="10" t="s">
        <v>782</v>
      </c>
      <c r="L213" s="10">
        <v>2</v>
      </c>
      <c r="M213" s="10" t="s">
        <v>78</v>
      </c>
      <c r="P213" s="10">
        <v>1</v>
      </c>
      <c r="Q213" s="10" t="s">
        <v>79</v>
      </c>
      <c r="R213" s="10">
        <v>460</v>
      </c>
      <c r="S213" s="10">
        <v>120</v>
      </c>
      <c r="T213" s="10">
        <v>180</v>
      </c>
      <c r="V213" s="10" t="s">
        <v>780</v>
      </c>
      <c r="W213" s="10" t="s">
        <v>783</v>
      </c>
      <c r="Z213" s="10" t="s">
        <v>641</v>
      </c>
      <c r="AD213" s="10">
        <v>0.75</v>
      </c>
      <c r="AF213" s="10" t="s">
        <v>96</v>
      </c>
      <c r="AG213" s="10">
        <v>10</v>
      </c>
    </row>
    <row r="214" spans="7:33" x14ac:dyDescent="0.25">
      <c r="G214" s="10" t="s">
        <v>776</v>
      </c>
      <c r="H214" s="10" t="s">
        <v>777</v>
      </c>
      <c r="I214" s="10" t="s">
        <v>784</v>
      </c>
      <c r="J214" s="10" t="s">
        <v>76</v>
      </c>
      <c r="K214" s="10" t="s">
        <v>785</v>
      </c>
      <c r="L214" s="10">
        <v>2</v>
      </c>
      <c r="M214" s="10" t="s">
        <v>78</v>
      </c>
      <c r="P214" s="10">
        <v>1</v>
      </c>
      <c r="Q214" s="10" t="s">
        <v>79</v>
      </c>
      <c r="R214" s="10">
        <v>210</v>
      </c>
      <c r="S214" s="10">
        <v>80</v>
      </c>
      <c r="T214" s="10">
        <v>240</v>
      </c>
      <c r="V214" s="10" t="s">
        <v>780</v>
      </c>
      <c r="W214" s="10" t="s">
        <v>786</v>
      </c>
      <c r="Z214" s="10" t="s">
        <v>641</v>
      </c>
      <c r="AD214" s="10">
        <v>0.75</v>
      </c>
      <c r="AF214" s="10" t="s">
        <v>96</v>
      </c>
      <c r="AG214" s="10">
        <v>8</v>
      </c>
    </row>
    <row r="215" spans="7:33" x14ac:dyDescent="0.25">
      <c r="G215" s="10" t="s">
        <v>776</v>
      </c>
      <c r="H215" s="10" t="s">
        <v>777</v>
      </c>
      <c r="I215" s="10" t="s">
        <v>787</v>
      </c>
      <c r="J215" s="10" t="s">
        <v>76</v>
      </c>
      <c r="K215" s="10" t="s">
        <v>788</v>
      </c>
      <c r="L215" s="10">
        <v>2</v>
      </c>
      <c r="M215" s="10" t="s">
        <v>78</v>
      </c>
      <c r="P215" s="10">
        <v>1</v>
      </c>
      <c r="Q215" s="10" t="s">
        <v>79</v>
      </c>
      <c r="R215" s="10">
        <v>170</v>
      </c>
      <c r="S215" s="10">
        <v>80</v>
      </c>
      <c r="T215" s="10">
        <v>210</v>
      </c>
      <c r="V215" s="10" t="s">
        <v>780</v>
      </c>
      <c r="W215" s="10" t="s">
        <v>789</v>
      </c>
      <c r="Z215" s="10" t="s">
        <v>641</v>
      </c>
      <c r="AD215" s="10">
        <v>0.75</v>
      </c>
      <c r="AF215" s="10" t="s">
        <v>96</v>
      </c>
      <c r="AG215" s="10">
        <v>8</v>
      </c>
    </row>
    <row r="216" spans="7:33" x14ac:dyDescent="0.25">
      <c r="G216" s="10" t="s">
        <v>776</v>
      </c>
      <c r="H216" s="10" t="s">
        <v>777</v>
      </c>
      <c r="I216" s="10" t="s">
        <v>790</v>
      </c>
      <c r="J216" s="10" t="s">
        <v>76</v>
      </c>
      <c r="K216" s="10" t="s">
        <v>791</v>
      </c>
      <c r="L216" s="10">
        <v>2</v>
      </c>
      <c r="M216" s="10" t="s">
        <v>78</v>
      </c>
      <c r="P216" s="10">
        <v>1</v>
      </c>
      <c r="Q216" s="10" t="s">
        <v>79</v>
      </c>
      <c r="R216" s="10">
        <v>350</v>
      </c>
      <c r="S216" s="10">
        <v>240</v>
      </c>
      <c r="T216" s="10">
        <v>250</v>
      </c>
      <c r="V216" s="10" t="s">
        <v>780</v>
      </c>
      <c r="W216" s="10" t="s">
        <v>792</v>
      </c>
      <c r="Z216" s="10" t="s">
        <v>641</v>
      </c>
      <c r="AD216" s="10">
        <v>0.75</v>
      </c>
      <c r="AF216" s="10" t="s">
        <v>96</v>
      </c>
      <c r="AG216" s="10">
        <v>10</v>
      </c>
    </row>
    <row r="217" spans="7:33" x14ac:dyDescent="0.25">
      <c r="G217" s="10" t="s">
        <v>776</v>
      </c>
      <c r="H217" s="10" t="s">
        <v>777</v>
      </c>
      <c r="I217" s="10" t="s">
        <v>793</v>
      </c>
      <c r="J217" s="10" t="s">
        <v>76</v>
      </c>
      <c r="K217" s="10" t="s">
        <v>794</v>
      </c>
      <c r="L217" s="10">
        <v>2</v>
      </c>
      <c r="M217" s="10" t="s">
        <v>78</v>
      </c>
      <c r="P217" s="10">
        <v>1</v>
      </c>
      <c r="Q217" s="10" t="s">
        <v>79</v>
      </c>
      <c r="R217" s="10">
        <v>300</v>
      </c>
      <c r="S217" s="10">
        <v>100</v>
      </c>
      <c r="T217" s="10">
        <v>220</v>
      </c>
      <c r="V217" s="10" t="s">
        <v>172</v>
      </c>
      <c r="W217" s="10" t="s">
        <v>795</v>
      </c>
      <c r="Z217" s="10" t="s">
        <v>641</v>
      </c>
      <c r="AD217" s="10">
        <v>0.75</v>
      </c>
      <c r="AF217" s="10" t="s">
        <v>96</v>
      </c>
      <c r="AG217" s="10">
        <v>10</v>
      </c>
    </row>
    <row r="218" spans="7:33" x14ac:dyDescent="0.25">
      <c r="G218" s="10" t="s">
        <v>776</v>
      </c>
      <c r="H218" s="10" t="s">
        <v>777</v>
      </c>
      <c r="I218" s="10" t="s">
        <v>796</v>
      </c>
      <c r="J218" s="10" t="s">
        <v>76</v>
      </c>
      <c r="K218" s="10" t="s">
        <v>797</v>
      </c>
      <c r="L218" s="10">
        <v>2</v>
      </c>
      <c r="M218" s="10" t="s">
        <v>78</v>
      </c>
      <c r="P218" s="10">
        <v>1</v>
      </c>
      <c r="Q218" s="10" t="s">
        <v>79</v>
      </c>
      <c r="R218" s="10">
        <v>450</v>
      </c>
      <c r="S218" s="10">
        <v>100</v>
      </c>
      <c r="T218" s="10">
        <v>280</v>
      </c>
      <c r="V218" s="10" t="s">
        <v>798</v>
      </c>
      <c r="W218" s="10" t="s">
        <v>799</v>
      </c>
      <c r="Z218" s="10" t="s">
        <v>738</v>
      </c>
      <c r="AD218" s="10">
        <v>0.75</v>
      </c>
      <c r="AF218" s="10" t="s">
        <v>96</v>
      </c>
      <c r="AG218" s="10">
        <v>8</v>
      </c>
    </row>
    <row r="219" spans="7:33" x14ac:dyDescent="0.25">
      <c r="G219" s="10" t="s">
        <v>776</v>
      </c>
      <c r="H219" s="10" t="s">
        <v>777</v>
      </c>
      <c r="I219" s="10" t="s">
        <v>800</v>
      </c>
      <c r="J219" s="10" t="s">
        <v>76</v>
      </c>
      <c r="K219" s="10" t="s">
        <v>801</v>
      </c>
      <c r="L219" s="10">
        <v>2</v>
      </c>
      <c r="M219" s="10" t="s">
        <v>78</v>
      </c>
      <c r="P219" s="10">
        <v>1</v>
      </c>
      <c r="Q219" s="10" t="s">
        <v>79</v>
      </c>
      <c r="R219" s="10">
        <v>380</v>
      </c>
      <c r="S219" s="10">
        <v>100</v>
      </c>
      <c r="T219" s="10">
        <v>320</v>
      </c>
      <c r="V219" s="10" t="s">
        <v>172</v>
      </c>
      <c r="W219" s="10" t="s">
        <v>802</v>
      </c>
      <c r="Z219" s="10" t="s">
        <v>641</v>
      </c>
      <c r="AD219" s="10">
        <v>0.75</v>
      </c>
      <c r="AF219" s="10" t="s">
        <v>96</v>
      </c>
      <c r="AG219" s="10">
        <v>10</v>
      </c>
    </row>
    <row r="220" spans="7:33" x14ac:dyDescent="0.25">
      <c r="G220" s="10" t="s">
        <v>776</v>
      </c>
      <c r="H220" s="10" t="s">
        <v>777</v>
      </c>
      <c r="I220" s="10" t="s">
        <v>803</v>
      </c>
      <c r="J220" s="10" t="s">
        <v>76</v>
      </c>
      <c r="K220" s="10" t="s">
        <v>804</v>
      </c>
      <c r="L220" s="10">
        <v>2</v>
      </c>
      <c r="M220" s="10" t="s">
        <v>78</v>
      </c>
      <c r="P220" s="10">
        <v>1</v>
      </c>
      <c r="Q220" s="10" t="s">
        <v>79</v>
      </c>
      <c r="R220" s="10">
        <v>130</v>
      </c>
      <c r="S220" s="10">
        <v>130</v>
      </c>
      <c r="T220" s="10">
        <v>160</v>
      </c>
      <c r="V220" s="10" t="s">
        <v>172</v>
      </c>
      <c r="W220" s="10" t="s">
        <v>805</v>
      </c>
      <c r="Z220" s="10" t="s">
        <v>641</v>
      </c>
      <c r="AD220" s="10">
        <v>0.75</v>
      </c>
      <c r="AF220" s="10" t="s">
        <v>96</v>
      </c>
      <c r="AG220" s="10">
        <v>10</v>
      </c>
    </row>
    <row r="221" spans="7:33" x14ac:dyDescent="0.25">
      <c r="G221" s="10" t="s">
        <v>776</v>
      </c>
      <c r="H221" s="10" t="s">
        <v>777</v>
      </c>
      <c r="I221" s="10" t="s">
        <v>806</v>
      </c>
      <c r="J221" s="10" t="s">
        <v>76</v>
      </c>
      <c r="K221" s="10" t="s">
        <v>807</v>
      </c>
      <c r="L221" s="10">
        <v>2</v>
      </c>
      <c r="M221" s="10" t="s">
        <v>78</v>
      </c>
      <c r="P221" s="10">
        <v>1</v>
      </c>
      <c r="Q221" s="10" t="s">
        <v>79</v>
      </c>
      <c r="R221" s="10">
        <v>400</v>
      </c>
      <c r="S221" s="10">
        <v>200</v>
      </c>
      <c r="T221" s="10">
        <v>320</v>
      </c>
      <c r="Z221" s="10" t="s">
        <v>222</v>
      </c>
      <c r="AA221" s="10" t="s">
        <v>808</v>
      </c>
      <c r="AD221" s="10">
        <v>0.75</v>
      </c>
      <c r="AF221" s="10" t="s">
        <v>96</v>
      </c>
      <c r="AG221" s="10">
        <v>15</v>
      </c>
    </row>
    <row r="222" spans="7:33" x14ac:dyDescent="0.25">
      <c r="G222" s="10" t="s">
        <v>776</v>
      </c>
      <c r="H222" s="10" t="s">
        <v>777</v>
      </c>
      <c r="I222" s="10" t="s">
        <v>809</v>
      </c>
      <c r="J222" s="10" t="s">
        <v>76</v>
      </c>
      <c r="K222" s="10" t="s">
        <v>810</v>
      </c>
      <c r="L222" s="10">
        <v>2</v>
      </c>
      <c r="M222" s="10" t="s">
        <v>78</v>
      </c>
      <c r="P222" s="10">
        <v>1</v>
      </c>
      <c r="Q222" s="10" t="s">
        <v>79</v>
      </c>
      <c r="R222" s="10">
        <v>200</v>
      </c>
      <c r="S222" s="10">
        <v>200</v>
      </c>
      <c r="T222" s="10">
        <v>280</v>
      </c>
      <c r="V222" s="10" t="s">
        <v>780</v>
      </c>
      <c r="W222" s="10" t="s">
        <v>811</v>
      </c>
      <c r="Z222" s="10" t="s">
        <v>641</v>
      </c>
      <c r="AD222" s="10">
        <v>0.75</v>
      </c>
      <c r="AF222" s="10" t="s">
        <v>96</v>
      </c>
      <c r="AG222" s="10">
        <v>10</v>
      </c>
    </row>
    <row r="223" spans="7:33" x14ac:dyDescent="0.25">
      <c r="G223" s="10" t="s">
        <v>776</v>
      </c>
      <c r="H223" s="10" t="s">
        <v>777</v>
      </c>
      <c r="I223" s="10" t="s">
        <v>812</v>
      </c>
      <c r="J223" s="10" t="s">
        <v>76</v>
      </c>
      <c r="K223" s="10" t="s">
        <v>813</v>
      </c>
      <c r="L223" s="10">
        <v>2</v>
      </c>
      <c r="M223" s="10" t="s">
        <v>78</v>
      </c>
      <c r="P223" s="10">
        <v>1</v>
      </c>
      <c r="Q223" s="10" t="s">
        <v>79</v>
      </c>
      <c r="R223" s="10">
        <v>260</v>
      </c>
      <c r="S223" s="10">
        <v>80</v>
      </c>
      <c r="T223" s="10">
        <v>240</v>
      </c>
      <c r="V223" s="10" t="s">
        <v>172</v>
      </c>
      <c r="W223" s="10" t="s">
        <v>814</v>
      </c>
      <c r="Z223" s="10" t="s">
        <v>641</v>
      </c>
      <c r="AD223" s="10">
        <v>0.75</v>
      </c>
      <c r="AF223" s="10" t="s">
        <v>96</v>
      </c>
      <c r="AG223" s="10">
        <v>8</v>
      </c>
    </row>
    <row r="224" spans="7:33" x14ac:dyDescent="0.25">
      <c r="G224" s="10" t="s">
        <v>776</v>
      </c>
      <c r="H224" s="10" t="s">
        <v>815</v>
      </c>
      <c r="I224" s="10" t="s">
        <v>816</v>
      </c>
      <c r="J224" s="10" t="s">
        <v>76</v>
      </c>
      <c r="K224" s="10" t="s">
        <v>817</v>
      </c>
      <c r="L224" s="10">
        <v>2</v>
      </c>
      <c r="M224" s="10" t="s">
        <v>78</v>
      </c>
      <c r="P224" s="10">
        <v>1</v>
      </c>
      <c r="Q224" s="10" t="s">
        <v>79</v>
      </c>
      <c r="R224" s="10">
        <v>120</v>
      </c>
      <c r="S224" s="10">
        <v>80</v>
      </c>
      <c r="T224" s="10">
        <v>130</v>
      </c>
      <c r="V224" s="10" t="s">
        <v>172</v>
      </c>
      <c r="W224" s="10" t="s">
        <v>818</v>
      </c>
      <c r="Z224" s="10" t="s">
        <v>641</v>
      </c>
      <c r="AD224" s="10">
        <v>0.75</v>
      </c>
      <c r="AF224" s="10" t="s">
        <v>96</v>
      </c>
      <c r="AG224" s="10">
        <v>10</v>
      </c>
    </row>
    <row r="225" spans="7:33" x14ac:dyDescent="0.25">
      <c r="G225" s="10" t="s">
        <v>776</v>
      </c>
      <c r="H225" s="10" t="s">
        <v>815</v>
      </c>
      <c r="I225" s="10" t="s">
        <v>819</v>
      </c>
      <c r="J225" s="10" t="s">
        <v>76</v>
      </c>
      <c r="K225" s="10" t="s">
        <v>820</v>
      </c>
      <c r="L225" s="10">
        <v>2</v>
      </c>
      <c r="M225" s="10" t="s">
        <v>78</v>
      </c>
      <c r="P225" s="10">
        <v>1</v>
      </c>
      <c r="Q225" s="10" t="s">
        <v>79</v>
      </c>
      <c r="R225" s="10">
        <v>220</v>
      </c>
      <c r="S225" s="10">
        <v>100</v>
      </c>
      <c r="T225" s="10">
        <v>180</v>
      </c>
      <c r="V225" s="10" t="s">
        <v>821</v>
      </c>
      <c r="W225" s="10" t="s">
        <v>822</v>
      </c>
      <c r="Z225" s="10" t="s">
        <v>95</v>
      </c>
      <c r="AD225" s="10">
        <v>0.75</v>
      </c>
      <c r="AF225" s="10" t="s">
        <v>96</v>
      </c>
      <c r="AG225" s="10">
        <v>10</v>
      </c>
    </row>
    <row r="226" spans="7:33" x14ac:dyDescent="0.25">
      <c r="G226" s="10" t="s">
        <v>776</v>
      </c>
      <c r="H226" s="10" t="s">
        <v>815</v>
      </c>
      <c r="I226" s="10" t="s">
        <v>823</v>
      </c>
      <c r="J226" s="10" t="s">
        <v>76</v>
      </c>
      <c r="K226" s="10" t="s">
        <v>824</v>
      </c>
      <c r="L226" s="10">
        <v>2</v>
      </c>
      <c r="M226" s="10" t="s">
        <v>78</v>
      </c>
      <c r="P226" s="10">
        <v>1</v>
      </c>
      <c r="Q226" s="10" t="s">
        <v>79</v>
      </c>
      <c r="R226" s="10">
        <v>130</v>
      </c>
      <c r="S226" s="10">
        <v>60</v>
      </c>
      <c r="T226" s="10">
        <v>70</v>
      </c>
      <c r="V226" s="10" t="s">
        <v>825</v>
      </c>
      <c r="W226" s="10" t="s">
        <v>826</v>
      </c>
      <c r="Z226" s="10" t="s">
        <v>742</v>
      </c>
      <c r="AA226" s="10" t="s">
        <v>827</v>
      </c>
      <c r="AD226" s="10">
        <v>0.75</v>
      </c>
      <c r="AF226" s="10" t="s">
        <v>96</v>
      </c>
      <c r="AG226" s="10">
        <v>10</v>
      </c>
    </row>
    <row r="227" spans="7:33" x14ac:dyDescent="0.25">
      <c r="G227" s="10" t="s">
        <v>776</v>
      </c>
      <c r="H227" s="10" t="s">
        <v>815</v>
      </c>
      <c r="I227" s="10" t="s">
        <v>828</v>
      </c>
      <c r="J227" s="10" t="s">
        <v>76</v>
      </c>
      <c r="K227" s="10" t="s">
        <v>829</v>
      </c>
      <c r="L227" s="10">
        <v>2</v>
      </c>
      <c r="M227" s="10" t="s">
        <v>78</v>
      </c>
      <c r="P227" s="10">
        <v>1</v>
      </c>
      <c r="Q227" s="10" t="s">
        <v>79</v>
      </c>
      <c r="R227" s="10">
        <v>80</v>
      </c>
      <c r="S227" s="10">
        <v>40</v>
      </c>
      <c r="T227" s="10">
        <v>220</v>
      </c>
      <c r="Z227" s="10" t="s">
        <v>742</v>
      </c>
      <c r="AD227" s="10">
        <v>0.75</v>
      </c>
      <c r="AF227" s="10" t="s">
        <v>96</v>
      </c>
      <c r="AG227" s="10">
        <v>10</v>
      </c>
    </row>
    <row r="228" spans="7:33" x14ac:dyDescent="0.25">
      <c r="G228" s="10" t="s">
        <v>776</v>
      </c>
      <c r="H228" s="10" t="s">
        <v>815</v>
      </c>
      <c r="I228" s="10" t="s">
        <v>830</v>
      </c>
      <c r="J228" s="10" t="s">
        <v>76</v>
      </c>
      <c r="K228" s="10" t="s">
        <v>831</v>
      </c>
      <c r="L228" s="10">
        <v>2</v>
      </c>
      <c r="M228" s="10" t="s">
        <v>78</v>
      </c>
      <c r="P228" s="10">
        <v>1</v>
      </c>
      <c r="Q228" s="10" t="s">
        <v>79</v>
      </c>
      <c r="R228" s="10">
        <v>180</v>
      </c>
      <c r="S228" s="10">
        <v>90</v>
      </c>
      <c r="T228" s="10">
        <v>50</v>
      </c>
      <c r="V228" s="10" t="s">
        <v>832</v>
      </c>
      <c r="W228" s="10">
        <v>117</v>
      </c>
      <c r="Z228" s="10" t="s">
        <v>833</v>
      </c>
      <c r="AD228" s="10">
        <v>0.75</v>
      </c>
      <c r="AF228" s="10" t="s">
        <v>96</v>
      </c>
      <c r="AG228" s="10">
        <v>10</v>
      </c>
    </row>
    <row r="229" spans="7:33" x14ac:dyDescent="0.25">
      <c r="G229" s="10" t="s">
        <v>776</v>
      </c>
      <c r="H229" s="10" t="s">
        <v>815</v>
      </c>
      <c r="I229" s="10" t="s">
        <v>834</v>
      </c>
      <c r="J229" s="10" t="s">
        <v>76</v>
      </c>
      <c r="K229" s="10" t="s">
        <v>835</v>
      </c>
      <c r="L229" s="10">
        <v>2</v>
      </c>
      <c r="M229" s="10" t="s">
        <v>78</v>
      </c>
      <c r="P229" s="10">
        <v>1</v>
      </c>
      <c r="Q229" s="10" t="s">
        <v>79</v>
      </c>
      <c r="R229" s="10">
        <v>160</v>
      </c>
      <c r="S229" s="10">
        <v>50</v>
      </c>
      <c r="T229" s="10">
        <v>30</v>
      </c>
      <c r="Z229" s="10" t="s">
        <v>95</v>
      </c>
      <c r="AD229" s="10">
        <v>0.75</v>
      </c>
      <c r="AF229" s="10" t="s">
        <v>96</v>
      </c>
      <c r="AG229" s="10">
        <v>10</v>
      </c>
    </row>
    <row r="230" spans="7:33" x14ac:dyDescent="0.25">
      <c r="G230" s="10" t="s">
        <v>776</v>
      </c>
      <c r="H230" s="10" t="s">
        <v>836</v>
      </c>
      <c r="I230" s="10" t="s">
        <v>837</v>
      </c>
      <c r="J230" s="10" t="s">
        <v>76</v>
      </c>
      <c r="K230" s="10" t="s">
        <v>838</v>
      </c>
      <c r="L230" s="10">
        <v>2</v>
      </c>
      <c r="M230" s="10" t="s">
        <v>78</v>
      </c>
      <c r="P230" s="10">
        <v>1</v>
      </c>
      <c r="Q230" s="10" t="s">
        <v>79</v>
      </c>
      <c r="R230" s="10">
        <v>1800</v>
      </c>
      <c r="S230" s="10">
        <v>750</v>
      </c>
      <c r="T230" s="10">
        <v>900</v>
      </c>
      <c r="Z230" s="10" t="s">
        <v>222</v>
      </c>
      <c r="AD230" s="10">
        <v>0.75</v>
      </c>
      <c r="AF230" s="10" t="s">
        <v>96</v>
      </c>
      <c r="AG230" s="10">
        <v>25</v>
      </c>
    </row>
    <row r="231" spans="7:33" x14ac:dyDescent="0.25">
      <c r="G231" s="10" t="s">
        <v>776</v>
      </c>
      <c r="H231" s="10" t="s">
        <v>836</v>
      </c>
      <c r="I231" s="10" t="s">
        <v>839</v>
      </c>
      <c r="J231" s="10" t="s">
        <v>76</v>
      </c>
      <c r="K231" s="10" t="s">
        <v>840</v>
      </c>
      <c r="L231" s="10">
        <v>2</v>
      </c>
      <c r="M231" s="10" t="s">
        <v>78</v>
      </c>
      <c r="P231" s="10">
        <v>1</v>
      </c>
      <c r="Q231" s="10" t="s">
        <v>79</v>
      </c>
      <c r="R231" s="10">
        <v>760</v>
      </c>
      <c r="S231" s="10">
        <v>380</v>
      </c>
      <c r="T231" s="10">
        <v>1030</v>
      </c>
      <c r="V231" s="10" t="s">
        <v>841</v>
      </c>
      <c r="Z231" s="10" t="s">
        <v>738</v>
      </c>
      <c r="AD231" s="10">
        <v>0.75</v>
      </c>
      <c r="AF231" s="10" t="s">
        <v>96</v>
      </c>
      <c r="AG231" s="10">
        <v>20</v>
      </c>
    </row>
    <row r="232" spans="7:33" x14ac:dyDescent="0.25">
      <c r="G232" s="10" t="s">
        <v>776</v>
      </c>
      <c r="H232" s="10" t="s">
        <v>836</v>
      </c>
      <c r="I232" s="10" t="s">
        <v>842</v>
      </c>
      <c r="J232" s="10" t="s">
        <v>76</v>
      </c>
      <c r="K232" s="10" t="s">
        <v>843</v>
      </c>
      <c r="L232" s="10">
        <v>2</v>
      </c>
      <c r="M232" s="10" t="s">
        <v>78</v>
      </c>
      <c r="P232" s="10">
        <v>1</v>
      </c>
      <c r="Q232" s="10" t="s">
        <v>79</v>
      </c>
      <c r="R232" s="10">
        <v>380</v>
      </c>
      <c r="S232" s="10">
        <v>300</v>
      </c>
      <c r="T232" s="10">
        <v>700</v>
      </c>
      <c r="Z232" s="10" t="s">
        <v>222</v>
      </c>
      <c r="AD232" s="10">
        <v>0.75</v>
      </c>
      <c r="AF232" s="10" t="s">
        <v>96</v>
      </c>
      <c r="AG232" s="10">
        <v>15</v>
      </c>
    </row>
    <row r="233" spans="7:33" x14ac:dyDescent="0.25">
      <c r="G233" s="10" t="s">
        <v>776</v>
      </c>
      <c r="H233" s="10" t="s">
        <v>836</v>
      </c>
      <c r="I233" s="10" t="s">
        <v>844</v>
      </c>
      <c r="J233" s="10" t="s">
        <v>76</v>
      </c>
      <c r="K233" s="10" t="s">
        <v>845</v>
      </c>
      <c r="L233" s="10">
        <v>2</v>
      </c>
      <c r="M233" s="10" t="s">
        <v>78</v>
      </c>
      <c r="P233" s="10">
        <v>1</v>
      </c>
      <c r="Q233" s="10" t="s">
        <v>79</v>
      </c>
      <c r="R233" s="10">
        <v>700</v>
      </c>
      <c r="S233" s="10">
        <v>480</v>
      </c>
      <c r="T233" s="10">
        <v>750</v>
      </c>
      <c r="Z233" s="10" t="s">
        <v>222</v>
      </c>
      <c r="AD233" s="10">
        <v>0.75</v>
      </c>
      <c r="AF233" s="10" t="s">
        <v>96</v>
      </c>
      <c r="AG233" s="10">
        <v>15</v>
      </c>
    </row>
    <row r="234" spans="7:33" x14ac:dyDescent="0.25">
      <c r="G234" s="10" t="s">
        <v>776</v>
      </c>
      <c r="H234" s="10" t="s">
        <v>836</v>
      </c>
      <c r="I234" s="10" t="s">
        <v>846</v>
      </c>
      <c r="J234" s="10" t="s">
        <v>76</v>
      </c>
      <c r="K234" s="10" t="s">
        <v>847</v>
      </c>
      <c r="L234" s="10">
        <v>2</v>
      </c>
      <c r="M234" s="10" t="s">
        <v>78</v>
      </c>
      <c r="P234" s="10">
        <v>1</v>
      </c>
      <c r="Q234" s="10" t="s">
        <v>79</v>
      </c>
      <c r="R234" s="10">
        <v>480</v>
      </c>
      <c r="S234" s="10">
        <v>260</v>
      </c>
      <c r="T234" s="10">
        <v>380</v>
      </c>
      <c r="V234" s="10" t="s">
        <v>848</v>
      </c>
      <c r="W234" s="10" t="s">
        <v>849</v>
      </c>
      <c r="Z234" s="10" t="s">
        <v>641</v>
      </c>
      <c r="AD234" s="10">
        <v>0.75</v>
      </c>
      <c r="AF234" s="10" t="s">
        <v>96</v>
      </c>
      <c r="AG234" s="10">
        <v>15</v>
      </c>
    </row>
    <row r="235" spans="7:33" x14ac:dyDescent="0.25">
      <c r="G235" s="10" t="s">
        <v>776</v>
      </c>
      <c r="H235" s="10" t="s">
        <v>836</v>
      </c>
      <c r="I235" s="10" t="s">
        <v>850</v>
      </c>
      <c r="J235" s="10" t="s">
        <v>76</v>
      </c>
      <c r="K235" s="10" t="s">
        <v>851</v>
      </c>
      <c r="L235" s="10">
        <v>2</v>
      </c>
      <c r="M235" s="10" t="s">
        <v>78</v>
      </c>
      <c r="P235" s="10">
        <v>1</v>
      </c>
      <c r="Q235" s="10" t="s">
        <v>79</v>
      </c>
      <c r="R235" s="10">
        <v>380</v>
      </c>
      <c r="S235" s="10">
        <v>220</v>
      </c>
      <c r="T235" s="10">
        <v>320</v>
      </c>
      <c r="V235" s="10" t="s">
        <v>852</v>
      </c>
      <c r="W235" s="10" t="s">
        <v>853</v>
      </c>
      <c r="Z235" s="10" t="s">
        <v>742</v>
      </c>
      <c r="AD235" s="10">
        <v>0.75</v>
      </c>
      <c r="AF235" s="10" t="s">
        <v>96</v>
      </c>
      <c r="AG235" s="10">
        <v>15</v>
      </c>
    </row>
    <row r="236" spans="7:33" x14ac:dyDescent="0.25">
      <c r="G236" s="10" t="s">
        <v>776</v>
      </c>
      <c r="H236" s="10" t="s">
        <v>836</v>
      </c>
      <c r="I236" s="10" t="s">
        <v>854</v>
      </c>
      <c r="J236" s="10" t="s">
        <v>76</v>
      </c>
      <c r="K236" s="10" t="s">
        <v>855</v>
      </c>
      <c r="L236" s="10">
        <v>2</v>
      </c>
      <c r="M236" s="10" t="s">
        <v>78</v>
      </c>
      <c r="P236" s="10">
        <v>1</v>
      </c>
      <c r="Q236" s="10" t="s">
        <v>79</v>
      </c>
      <c r="R236" s="10">
        <v>650</v>
      </c>
      <c r="S236" s="10">
        <v>300</v>
      </c>
      <c r="T236" s="10">
        <v>800</v>
      </c>
      <c r="Z236" s="10" t="s">
        <v>222</v>
      </c>
      <c r="AD236" s="10">
        <v>0.75</v>
      </c>
      <c r="AF236" s="10" t="s">
        <v>96</v>
      </c>
      <c r="AG236" s="10">
        <v>15</v>
      </c>
    </row>
    <row r="237" spans="7:33" x14ac:dyDescent="0.25">
      <c r="G237" s="10" t="s">
        <v>776</v>
      </c>
      <c r="H237" s="10" t="s">
        <v>836</v>
      </c>
      <c r="I237" s="10" t="s">
        <v>854</v>
      </c>
      <c r="J237" s="10" t="s">
        <v>76</v>
      </c>
      <c r="K237" s="10" t="s">
        <v>856</v>
      </c>
      <c r="L237" s="10">
        <v>2</v>
      </c>
      <c r="M237" s="10" t="s">
        <v>78</v>
      </c>
      <c r="P237" s="10">
        <v>1</v>
      </c>
      <c r="Q237" s="10" t="s">
        <v>79</v>
      </c>
      <c r="R237" s="10">
        <v>1600</v>
      </c>
      <c r="S237" s="10">
        <v>700</v>
      </c>
      <c r="T237" s="10">
        <v>1400</v>
      </c>
      <c r="V237" s="10" t="s">
        <v>857</v>
      </c>
      <c r="W237" s="10" t="s">
        <v>858</v>
      </c>
      <c r="Z237" s="10" t="s">
        <v>650</v>
      </c>
      <c r="AD237" s="10">
        <v>0.75</v>
      </c>
      <c r="AF237" s="10" t="s">
        <v>96</v>
      </c>
      <c r="AG237" s="10">
        <v>15</v>
      </c>
    </row>
    <row r="238" spans="7:33" x14ac:dyDescent="0.25">
      <c r="G238" s="10" t="s">
        <v>776</v>
      </c>
      <c r="H238" s="10" t="s">
        <v>836</v>
      </c>
      <c r="I238" s="10" t="s">
        <v>859</v>
      </c>
      <c r="J238" s="10" t="s">
        <v>76</v>
      </c>
      <c r="K238" s="10" t="s">
        <v>860</v>
      </c>
      <c r="L238" s="10">
        <v>2</v>
      </c>
      <c r="M238" s="10" t="s">
        <v>78</v>
      </c>
      <c r="P238" s="10">
        <v>1</v>
      </c>
      <c r="Q238" s="10" t="s">
        <v>79</v>
      </c>
      <c r="R238" s="10">
        <v>500</v>
      </c>
      <c r="S238" s="10">
        <v>500</v>
      </c>
      <c r="T238" s="10">
        <v>1000</v>
      </c>
      <c r="V238" s="10" t="s">
        <v>861</v>
      </c>
      <c r="W238" s="10" t="s">
        <v>862</v>
      </c>
      <c r="Z238" s="10" t="s">
        <v>742</v>
      </c>
      <c r="AD238" s="10">
        <v>0.75</v>
      </c>
      <c r="AF238" s="10" t="s">
        <v>96</v>
      </c>
      <c r="AG238" s="10">
        <v>10</v>
      </c>
    </row>
    <row r="239" spans="7:33" x14ac:dyDescent="0.25">
      <c r="G239" s="10" t="s">
        <v>776</v>
      </c>
      <c r="H239" s="10" t="s">
        <v>836</v>
      </c>
      <c r="I239" s="10" t="s">
        <v>863</v>
      </c>
      <c r="J239" s="10" t="s">
        <v>76</v>
      </c>
      <c r="K239" s="10" t="s">
        <v>864</v>
      </c>
      <c r="L239" s="10">
        <v>2</v>
      </c>
      <c r="M239" s="10" t="s">
        <v>78</v>
      </c>
      <c r="P239" s="10">
        <v>1</v>
      </c>
      <c r="Q239" s="10" t="s">
        <v>79</v>
      </c>
      <c r="R239" s="10">
        <v>900</v>
      </c>
      <c r="S239" s="10">
        <v>600</v>
      </c>
      <c r="T239" s="10">
        <v>900</v>
      </c>
      <c r="Z239" s="10" t="s">
        <v>222</v>
      </c>
      <c r="AD239" s="10">
        <v>0.75</v>
      </c>
      <c r="AF239" s="10" t="s">
        <v>96</v>
      </c>
      <c r="AG239" s="10">
        <v>15</v>
      </c>
    </row>
    <row r="240" spans="7:33" x14ac:dyDescent="0.25">
      <c r="G240" s="10" t="s">
        <v>776</v>
      </c>
      <c r="H240" s="10" t="s">
        <v>836</v>
      </c>
      <c r="I240" s="10" t="s">
        <v>865</v>
      </c>
      <c r="J240" s="10" t="s">
        <v>76</v>
      </c>
      <c r="K240" s="10" t="s">
        <v>866</v>
      </c>
      <c r="L240" s="10">
        <v>2</v>
      </c>
      <c r="M240" s="10" t="s">
        <v>78</v>
      </c>
      <c r="P240" s="10">
        <v>1</v>
      </c>
      <c r="Q240" s="10" t="s">
        <v>79</v>
      </c>
      <c r="R240" s="10">
        <v>900</v>
      </c>
      <c r="S240" s="10">
        <v>500</v>
      </c>
      <c r="T240" s="10">
        <v>1800</v>
      </c>
      <c r="Z240" s="10" t="s">
        <v>738</v>
      </c>
      <c r="AD240" s="10">
        <v>0.75</v>
      </c>
      <c r="AF240" s="10" t="s">
        <v>96</v>
      </c>
      <c r="AG240" s="10">
        <v>20</v>
      </c>
    </row>
    <row r="241" spans="7:33" x14ac:dyDescent="0.25">
      <c r="G241" s="10" t="s">
        <v>776</v>
      </c>
      <c r="H241" s="10" t="s">
        <v>836</v>
      </c>
      <c r="I241" s="10" t="s">
        <v>867</v>
      </c>
      <c r="J241" s="10" t="s">
        <v>76</v>
      </c>
      <c r="K241" s="10" t="s">
        <v>868</v>
      </c>
      <c r="L241" s="10">
        <v>2</v>
      </c>
      <c r="M241" s="10" t="s">
        <v>78</v>
      </c>
      <c r="P241" s="10">
        <v>1</v>
      </c>
      <c r="Q241" s="10" t="s">
        <v>79</v>
      </c>
      <c r="R241" s="10">
        <v>1200</v>
      </c>
      <c r="S241" s="10">
        <v>800</v>
      </c>
      <c r="T241" s="10">
        <v>1200</v>
      </c>
      <c r="V241" s="10" t="s">
        <v>869</v>
      </c>
      <c r="W241" s="10" t="s">
        <v>870</v>
      </c>
      <c r="Z241" s="10" t="s">
        <v>742</v>
      </c>
      <c r="AD241" s="10">
        <v>0.75</v>
      </c>
      <c r="AF241" s="10" t="s">
        <v>96</v>
      </c>
      <c r="AG241" s="10">
        <v>20</v>
      </c>
    </row>
    <row r="242" spans="7:33" x14ac:dyDescent="0.25">
      <c r="G242" s="10" t="s">
        <v>776</v>
      </c>
      <c r="H242" s="10" t="s">
        <v>836</v>
      </c>
      <c r="I242" s="10" t="s">
        <v>871</v>
      </c>
      <c r="J242" s="10" t="s">
        <v>76</v>
      </c>
      <c r="K242" s="10" t="s">
        <v>872</v>
      </c>
      <c r="L242" s="10">
        <v>2</v>
      </c>
      <c r="M242" s="10" t="s">
        <v>78</v>
      </c>
      <c r="P242" s="10">
        <v>1</v>
      </c>
      <c r="Q242" s="10" t="s">
        <v>79</v>
      </c>
      <c r="R242" s="10">
        <v>1100</v>
      </c>
      <c r="S242" s="10">
        <v>750</v>
      </c>
      <c r="T242" s="10">
        <v>1200</v>
      </c>
      <c r="V242" s="10" t="s">
        <v>869</v>
      </c>
      <c r="W242" s="10" t="s">
        <v>873</v>
      </c>
      <c r="Z242" s="10" t="s">
        <v>742</v>
      </c>
      <c r="AD242" s="10">
        <v>0.75</v>
      </c>
      <c r="AF242" s="10" t="s">
        <v>96</v>
      </c>
      <c r="AG242" s="10">
        <v>20</v>
      </c>
    </row>
    <row r="243" spans="7:33" x14ac:dyDescent="0.25">
      <c r="G243" s="10" t="s">
        <v>776</v>
      </c>
      <c r="H243" s="10" t="s">
        <v>874</v>
      </c>
      <c r="I243" s="10" t="s">
        <v>875</v>
      </c>
      <c r="J243" s="10" t="s">
        <v>76</v>
      </c>
      <c r="K243" s="10" t="s">
        <v>876</v>
      </c>
      <c r="L243" s="10">
        <v>2</v>
      </c>
      <c r="M243" s="10" t="s">
        <v>78</v>
      </c>
      <c r="P243" s="10">
        <v>1</v>
      </c>
      <c r="Q243" s="10" t="s">
        <v>79</v>
      </c>
      <c r="R243" s="10">
        <v>1500</v>
      </c>
      <c r="S243" s="10">
        <v>540</v>
      </c>
      <c r="T243" s="10">
        <v>1200</v>
      </c>
      <c r="V243" s="10" t="s">
        <v>701</v>
      </c>
      <c r="W243" s="10" t="s">
        <v>877</v>
      </c>
      <c r="Z243" s="10" t="s">
        <v>742</v>
      </c>
      <c r="AD243" s="10">
        <v>0.75</v>
      </c>
      <c r="AF243" s="10" t="s">
        <v>96</v>
      </c>
      <c r="AG243" s="10">
        <v>15</v>
      </c>
    </row>
    <row r="244" spans="7:33" x14ac:dyDescent="0.25">
      <c r="G244" s="10" t="s">
        <v>776</v>
      </c>
      <c r="H244" s="10" t="s">
        <v>874</v>
      </c>
      <c r="I244" s="10" t="s">
        <v>878</v>
      </c>
      <c r="J244" s="10" t="s">
        <v>76</v>
      </c>
      <c r="K244" s="10" t="s">
        <v>879</v>
      </c>
      <c r="L244" s="10">
        <v>2</v>
      </c>
      <c r="M244" s="10" t="s">
        <v>78</v>
      </c>
      <c r="P244" s="10">
        <v>1</v>
      </c>
      <c r="Q244" s="10" t="s">
        <v>79</v>
      </c>
      <c r="R244" s="10">
        <v>910</v>
      </c>
      <c r="S244" s="10">
        <v>560</v>
      </c>
      <c r="T244" s="10">
        <v>900</v>
      </c>
      <c r="Z244" s="10" t="s">
        <v>222</v>
      </c>
      <c r="AD244" s="10">
        <v>0.75</v>
      </c>
      <c r="AF244" s="10" t="s">
        <v>96</v>
      </c>
      <c r="AG244" s="10">
        <v>15</v>
      </c>
    </row>
    <row r="245" spans="7:33" x14ac:dyDescent="0.25">
      <c r="G245" s="10" t="s">
        <v>776</v>
      </c>
      <c r="H245" s="10" t="s">
        <v>874</v>
      </c>
      <c r="I245" s="10" t="s">
        <v>880</v>
      </c>
      <c r="J245" s="10" t="s">
        <v>76</v>
      </c>
      <c r="K245" s="10" t="s">
        <v>881</v>
      </c>
      <c r="L245" s="10">
        <v>2</v>
      </c>
      <c r="M245" s="10" t="s">
        <v>78</v>
      </c>
      <c r="P245" s="10">
        <v>1</v>
      </c>
      <c r="Q245" s="10" t="s">
        <v>79</v>
      </c>
      <c r="R245" s="10">
        <v>490</v>
      </c>
      <c r="S245" s="10">
        <v>230</v>
      </c>
      <c r="T245" s="10">
        <v>1200</v>
      </c>
      <c r="Z245" s="10" t="s">
        <v>222</v>
      </c>
      <c r="AD245" s="10">
        <v>0.75</v>
      </c>
      <c r="AF245" s="10" t="s">
        <v>96</v>
      </c>
      <c r="AG245" s="10">
        <v>15</v>
      </c>
    </row>
    <row r="246" spans="7:33" x14ac:dyDescent="0.25">
      <c r="G246" s="10" t="s">
        <v>776</v>
      </c>
      <c r="H246" s="10" t="s">
        <v>874</v>
      </c>
      <c r="I246" s="10" t="s">
        <v>882</v>
      </c>
      <c r="J246" s="10" t="s">
        <v>76</v>
      </c>
      <c r="K246" s="10" t="s">
        <v>883</v>
      </c>
      <c r="L246" s="10">
        <v>2</v>
      </c>
      <c r="M246" s="10" t="s">
        <v>78</v>
      </c>
      <c r="P246" s="10">
        <v>1</v>
      </c>
      <c r="Q246" s="10" t="s">
        <v>79</v>
      </c>
      <c r="R246" s="10">
        <v>640</v>
      </c>
      <c r="S246" s="10">
        <v>400</v>
      </c>
      <c r="T246" s="10">
        <v>700</v>
      </c>
      <c r="Z246" s="10" t="s">
        <v>884</v>
      </c>
      <c r="AD246" s="10">
        <v>0.75</v>
      </c>
      <c r="AF246" s="10" t="s">
        <v>96</v>
      </c>
      <c r="AG246" s="10">
        <v>20</v>
      </c>
    </row>
    <row r="247" spans="7:33" x14ac:dyDescent="0.25">
      <c r="G247" s="10" t="s">
        <v>776</v>
      </c>
      <c r="H247" s="10" t="s">
        <v>874</v>
      </c>
      <c r="I247" s="10" t="s">
        <v>885</v>
      </c>
      <c r="J247" s="10" t="s">
        <v>76</v>
      </c>
      <c r="K247" s="10" t="s">
        <v>886</v>
      </c>
      <c r="L247" s="10">
        <v>2</v>
      </c>
      <c r="M247" s="10" t="s">
        <v>78</v>
      </c>
      <c r="P247" s="10">
        <v>1</v>
      </c>
      <c r="Q247" s="10" t="s">
        <v>79</v>
      </c>
      <c r="R247" s="10">
        <v>600</v>
      </c>
      <c r="S247" s="10">
        <v>650</v>
      </c>
      <c r="T247" s="10">
        <v>2100</v>
      </c>
      <c r="V247" s="10" t="s">
        <v>887</v>
      </c>
      <c r="W247" s="10" t="s">
        <v>888</v>
      </c>
      <c r="Z247" s="10" t="s">
        <v>742</v>
      </c>
      <c r="AA247" s="10" t="s">
        <v>889</v>
      </c>
      <c r="AD247" s="10">
        <v>0.75</v>
      </c>
      <c r="AF247" s="10" t="s">
        <v>96</v>
      </c>
      <c r="AG247" s="10">
        <v>15</v>
      </c>
    </row>
    <row r="248" spans="7:33" x14ac:dyDescent="0.25">
      <c r="G248" s="10" t="s">
        <v>776</v>
      </c>
      <c r="H248" s="10" t="s">
        <v>874</v>
      </c>
      <c r="I248" s="10" t="s">
        <v>890</v>
      </c>
      <c r="J248" s="10" t="s">
        <v>76</v>
      </c>
      <c r="K248" s="10" t="s">
        <v>891</v>
      </c>
      <c r="L248" s="10">
        <v>2</v>
      </c>
      <c r="M248" s="10" t="s">
        <v>78</v>
      </c>
      <c r="P248" s="10">
        <v>1</v>
      </c>
      <c r="Q248" s="10" t="s">
        <v>79</v>
      </c>
      <c r="R248" s="10">
        <v>300</v>
      </c>
      <c r="S248" s="10">
        <v>400</v>
      </c>
      <c r="T248" s="10">
        <v>3000</v>
      </c>
      <c r="V248" s="10" t="s">
        <v>887</v>
      </c>
      <c r="W248" s="10" t="s">
        <v>892</v>
      </c>
      <c r="Z248" s="10" t="s">
        <v>742</v>
      </c>
      <c r="AA248" s="10" t="s">
        <v>889</v>
      </c>
      <c r="AD248" s="10">
        <v>0.75</v>
      </c>
      <c r="AF248" s="10" t="s">
        <v>96</v>
      </c>
      <c r="AG248" s="10">
        <v>15</v>
      </c>
    </row>
    <row r="249" spans="7:33" x14ac:dyDescent="0.25">
      <c r="G249" s="10" t="s">
        <v>776</v>
      </c>
      <c r="H249" s="10" t="s">
        <v>874</v>
      </c>
      <c r="I249" s="10" t="s">
        <v>893</v>
      </c>
      <c r="J249" s="10" t="s">
        <v>76</v>
      </c>
      <c r="K249" s="10" t="s">
        <v>894</v>
      </c>
      <c r="L249" s="10">
        <v>2</v>
      </c>
      <c r="M249" s="10" t="s">
        <v>78</v>
      </c>
      <c r="P249" s="10">
        <v>1</v>
      </c>
      <c r="Q249" s="10" t="s">
        <v>79</v>
      </c>
      <c r="R249" s="10">
        <v>1165</v>
      </c>
      <c r="S249" s="10">
        <v>965</v>
      </c>
      <c r="T249" s="10">
        <v>1000</v>
      </c>
      <c r="Z249" s="10" t="s">
        <v>884</v>
      </c>
      <c r="AD249" s="10">
        <v>0.75</v>
      </c>
      <c r="AF249" s="10" t="s">
        <v>96</v>
      </c>
      <c r="AG249" s="10">
        <v>20</v>
      </c>
    </row>
    <row r="250" spans="7:33" x14ac:dyDescent="0.25">
      <c r="G250" s="10" t="s">
        <v>776</v>
      </c>
      <c r="H250" s="10" t="s">
        <v>895</v>
      </c>
      <c r="I250" s="10" t="s">
        <v>896</v>
      </c>
      <c r="J250" s="10" t="s">
        <v>76</v>
      </c>
      <c r="K250" s="10" t="s">
        <v>897</v>
      </c>
      <c r="L250" s="10">
        <v>2</v>
      </c>
      <c r="M250" s="10" t="s">
        <v>78</v>
      </c>
      <c r="P250" s="10">
        <v>1</v>
      </c>
      <c r="Q250" s="10" t="s">
        <v>79</v>
      </c>
      <c r="R250" s="10">
        <v>180</v>
      </c>
      <c r="S250" s="10">
        <v>180</v>
      </c>
      <c r="T250" s="10">
        <v>620</v>
      </c>
      <c r="V250" s="10" t="s">
        <v>898</v>
      </c>
      <c r="Z250" s="10" t="s">
        <v>738</v>
      </c>
      <c r="AA250" s="10" t="s">
        <v>899</v>
      </c>
      <c r="AD250" s="10">
        <v>0.75</v>
      </c>
      <c r="AF250" s="10" t="s">
        <v>96</v>
      </c>
      <c r="AG250" s="10">
        <v>5</v>
      </c>
    </row>
    <row r="251" spans="7:33" x14ac:dyDescent="0.25">
      <c r="G251" s="10" t="s">
        <v>776</v>
      </c>
      <c r="H251" s="10" t="s">
        <v>895</v>
      </c>
      <c r="I251" s="10" t="s">
        <v>896</v>
      </c>
      <c r="J251" s="10" t="s">
        <v>76</v>
      </c>
      <c r="K251" s="10" t="s">
        <v>900</v>
      </c>
      <c r="L251" s="10">
        <v>2</v>
      </c>
      <c r="M251" s="10" t="s">
        <v>78</v>
      </c>
      <c r="P251" s="10">
        <v>1</v>
      </c>
      <c r="Q251" s="10" t="s">
        <v>79</v>
      </c>
      <c r="R251" s="10">
        <v>180</v>
      </c>
      <c r="S251" s="10">
        <v>180</v>
      </c>
      <c r="T251" s="10">
        <v>620</v>
      </c>
      <c r="V251" s="10" t="s">
        <v>898</v>
      </c>
      <c r="Z251" s="10" t="s">
        <v>738</v>
      </c>
      <c r="AA251" s="10" t="s">
        <v>899</v>
      </c>
      <c r="AD251" s="10">
        <v>0.75</v>
      </c>
      <c r="AF251" s="10" t="s">
        <v>96</v>
      </c>
      <c r="AG251" s="10">
        <v>5</v>
      </c>
    </row>
    <row r="252" spans="7:33" x14ac:dyDescent="0.25">
      <c r="G252" s="10" t="s">
        <v>776</v>
      </c>
      <c r="H252" s="10" t="s">
        <v>895</v>
      </c>
      <c r="I252" s="10" t="s">
        <v>896</v>
      </c>
      <c r="J252" s="10" t="s">
        <v>76</v>
      </c>
      <c r="K252" s="10" t="s">
        <v>901</v>
      </c>
      <c r="L252" s="10">
        <v>2</v>
      </c>
      <c r="M252" s="10" t="s">
        <v>78</v>
      </c>
      <c r="P252" s="10">
        <v>1</v>
      </c>
      <c r="Q252" s="10" t="s">
        <v>79</v>
      </c>
      <c r="R252" s="10">
        <v>180</v>
      </c>
      <c r="S252" s="10">
        <v>180</v>
      </c>
      <c r="T252" s="10">
        <v>620</v>
      </c>
      <c r="V252" s="10" t="s">
        <v>898</v>
      </c>
      <c r="Z252" s="10" t="s">
        <v>738</v>
      </c>
      <c r="AA252" s="10" t="s">
        <v>902</v>
      </c>
      <c r="AD252" s="10">
        <v>0.75</v>
      </c>
      <c r="AF252" s="10" t="s">
        <v>96</v>
      </c>
      <c r="AG252" s="10">
        <v>5</v>
      </c>
    </row>
    <row r="253" spans="7:33" x14ac:dyDescent="0.25">
      <c r="G253" s="10" t="s">
        <v>776</v>
      </c>
      <c r="H253" s="10" t="s">
        <v>895</v>
      </c>
      <c r="I253" s="10" t="s">
        <v>903</v>
      </c>
      <c r="J253" s="10" t="s">
        <v>76</v>
      </c>
      <c r="K253" s="10" t="s">
        <v>904</v>
      </c>
      <c r="L253" s="10">
        <v>2</v>
      </c>
      <c r="M253" s="10" t="s">
        <v>78</v>
      </c>
      <c r="P253" s="10">
        <v>1</v>
      </c>
      <c r="Q253" s="10" t="s">
        <v>79</v>
      </c>
      <c r="R253" s="10">
        <v>500</v>
      </c>
      <c r="S253" s="10">
        <v>250</v>
      </c>
      <c r="T253" s="10">
        <v>700</v>
      </c>
      <c r="Z253" s="10" t="s">
        <v>738</v>
      </c>
      <c r="AD253" s="10">
        <v>0.75</v>
      </c>
      <c r="AF253" s="10" t="s">
        <v>96</v>
      </c>
      <c r="AG253" s="10">
        <v>20</v>
      </c>
    </row>
    <row r="254" spans="7:33" x14ac:dyDescent="0.25">
      <c r="G254" s="10" t="s">
        <v>776</v>
      </c>
      <c r="H254" s="10" t="s">
        <v>895</v>
      </c>
      <c r="I254" s="10" t="s">
        <v>905</v>
      </c>
      <c r="J254" s="10" t="s">
        <v>76</v>
      </c>
      <c r="K254" s="10" t="s">
        <v>906</v>
      </c>
      <c r="L254" s="10">
        <v>2</v>
      </c>
      <c r="M254" s="10" t="s">
        <v>78</v>
      </c>
      <c r="P254" s="10">
        <v>1</v>
      </c>
      <c r="Q254" s="10" t="s">
        <v>79</v>
      </c>
      <c r="R254" s="10">
        <v>250</v>
      </c>
      <c r="S254" s="10">
        <v>250</v>
      </c>
      <c r="T254" s="10">
        <v>2200</v>
      </c>
      <c r="V254" s="10" t="s">
        <v>907</v>
      </c>
      <c r="W254" s="10" t="s">
        <v>908</v>
      </c>
      <c r="Z254" s="10" t="s">
        <v>909</v>
      </c>
      <c r="AA254" s="10" t="s">
        <v>910</v>
      </c>
      <c r="AD254" s="10">
        <v>0.75</v>
      </c>
      <c r="AF254" s="10" t="s">
        <v>96</v>
      </c>
      <c r="AG254" s="10">
        <v>20</v>
      </c>
    </row>
    <row r="255" spans="7:33" x14ac:dyDescent="0.25">
      <c r="G255" s="10" t="s">
        <v>776</v>
      </c>
      <c r="H255" s="10" t="s">
        <v>895</v>
      </c>
      <c r="I255" s="10" t="s">
        <v>911</v>
      </c>
      <c r="J255" s="10" t="s">
        <v>76</v>
      </c>
      <c r="K255" s="10" t="s">
        <v>912</v>
      </c>
      <c r="L255" s="10">
        <v>2</v>
      </c>
      <c r="M255" s="10" t="s">
        <v>78</v>
      </c>
      <c r="P255" s="10">
        <v>1</v>
      </c>
      <c r="Q255" s="10" t="s">
        <v>79</v>
      </c>
      <c r="R255" s="10">
        <v>600</v>
      </c>
      <c r="S255" s="10">
        <v>400</v>
      </c>
      <c r="T255" s="10">
        <v>600</v>
      </c>
      <c r="Z255" s="10" t="s">
        <v>742</v>
      </c>
      <c r="AA255" s="10" t="s">
        <v>913</v>
      </c>
      <c r="AD255" s="10">
        <v>0.75</v>
      </c>
      <c r="AF255" s="10" t="s">
        <v>96</v>
      </c>
      <c r="AG255" s="10">
        <v>3</v>
      </c>
    </row>
    <row r="256" spans="7:33" x14ac:dyDescent="0.25">
      <c r="G256" s="10" t="s">
        <v>776</v>
      </c>
      <c r="H256" s="10" t="s">
        <v>895</v>
      </c>
      <c r="I256" s="10" t="s">
        <v>914</v>
      </c>
      <c r="J256" s="10" t="s">
        <v>76</v>
      </c>
      <c r="K256" s="10" t="s">
        <v>915</v>
      </c>
      <c r="L256" s="10">
        <v>2</v>
      </c>
      <c r="M256" s="10" t="s">
        <v>78</v>
      </c>
      <c r="P256" s="10">
        <v>1</v>
      </c>
      <c r="Q256" s="10" t="s">
        <v>79</v>
      </c>
      <c r="R256" s="10">
        <v>480</v>
      </c>
      <c r="S256" s="10">
        <v>200</v>
      </c>
      <c r="T256" s="10">
        <v>380</v>
      </c>
      <c r="V256" s="10" t="s">
        <v>649</v>
      </c>
      <c r="Z256" s="10" t="s">
        <v>650</v>
      </c>
      <c r="AA256" s="10" t="s">
        <v>651</v>
      </c>
      <c r="AD256" s="10">
        <v>0.75</v>
      </c>
      <c r="AF256" s="10" t="s">
        <v>96</v>
      </c>
      <c r="AG256" s="10">
        <v>3</v>
      </c>
    </row>
    <row r="257" spans="7:33" x14ac:dyDescent="0.25">
      <c r="G257" s="10" t="s">
        <v>776</v>
      </c>
      <c r="H257" s="10" t="s">
        <v>895</v>
      </c>
      <c r="I257" s="10" t="s">
        <v>916</v>
      </c>
      <c r="J257" s="10" t="s">
        <v>76</v>
      </c>
      <c r="K257" s="10" t="s">
        <v>917</v>
      </c>
      <c r="L257" s="10">
        <v>2</v>
      </c>
      <c r="M257" s="10" t="s">
        <v>78</v>
      </c>
      <c r="P257" s="10">
        <v>1</v>
      </c>
      <c r="Q257" s="10" t="s">
        <v>79</v>
      </c>
      <c r="R257" s="10">
        <v>900</v>
      </c>
      <c r="S257" s="10">
        <v>460</v>
      </c>
      <c r="T257" s="10">
        <v>1100</v>
      </c>
      <c r="V257" s="10" t="s">
        <v>918</v>
      </c>
      <c r="Z257" s="10" t="s">
        <v>742</v>
      </c>
      <c r="AA257" s="10" t="s">
        <v>919</v>
      </c>
      <c r="AD257" s="10">
        <v>0.75</v>
      </c>
      <c r="AF257" s="10" t="s">
        <v>96</v>
      </c>
      <c r="AG257" s="10">
        <v>20</v>
      </c>
    </row>
    <row r="258" spans="7:33" x14ac:dyDescent="0.25">
      <c r="G258" s="10" t="s">
        <v>776</v>
      </c>
      <c r="H258" s="10" t="s">
        <v>895</v>
      </c>
      <c r="I258" s="10" t="s">
        <v>920</v>
      </c>
      <c r="J258" s="10" t="s">
        <v>76</v>
      </c>
      <c r="K258" s="10" t="s">
        <v>921</v>
      </c>
      <c r="L258" s="10">
        <v>2</v>
      </c>
      <c r="M258" s="10" t="s">
        <v>78</v>
      </c>
      <c r="P258" s="10">
        <v>1</v>
      </c>
      <c r="Q258" s="10" t="s">
        <v>79</v>
      </c>
      <c r="R258" s="10">
        <v>900</v>
      </c>
      <c r="S258" s="10">
        <v>460</v>
      </c>
      <c r="T258" s="10">
        <v>900</v>
      </c>
      <c r="V258" s="10" t="s">
        <v>918</v>
      </c>
      <c r="Z258" s="10" t="s">
        <v>105</v>
      </c>
      <c r="AA258" s="10" t="s">
        <v>922</v>
      </c>
      <c r="AD258" s="10">
        <v>0.75</v>
      </c>
      <c r="AF258" s="10" t="s">
        <v>96</v>
      </c>
      <c r="AG258" s="10">
        <v>20</v>
      </c>
    </row>
  </sheetData>
  <autoFilter ref="A1:AG1" xr:uid="{C91B97E1-10E4-48F5-A945-BE1466385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Asset_Library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Damian Ferguson</dc:creator>
  <cp:lastModifiedBy>Damian Ferguson</cp:lastModifiedBy>
  <dcterms:created xsi:type="dcterms:W3CDTF">2026-04-17T06:05:29Z</dcterms:created>
  <dcterms:modified xsi:type="dcterms:W3CDTF">2026-04-23T07:08:25Z</dcterms:modified>
</cp:coreProperties>
</file>